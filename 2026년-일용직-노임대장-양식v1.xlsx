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73842E59-60F2-4687-82EF-D5C6D4D97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일용직 노임대장" sheetId="1" r:id="rId1"/>
  </sheets>
  <definedNames>
    <definedName name="_xlnm.Print_Area" localSheetId="0">'일용직 노임대장'!$A$1:$AW$47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1" l="1"/>
  <c r="B10" i="1" l="1"/>
  <c r="B12" i="1"/>
  <c r="B14" i="1"/>
  <c r="B16" i="1"/>
  <c r="B18" i="1"/>
  <c r="B20" i="1"/>
  <c r="B22" i="1"/>
  <c r="B24" i="1"/>
  <c r="B26" i="1"/>
  <c r="B28" i="1"/>
  <c r="B30" i="1"/>
  <c r="B32" i="1"/>
  <c r="B34" i="1"/>
  <c r="B36" i="1"/>
  <c r="B38" i="1"/>
  <c r="B40" i="1"/>
  <c r="B42" i="1"/>
  <c r="B44" i="1"/>
  <c r="B46" i="1"/>
  <c r="B48" i="1"/>
  <c r="B50" i="1"/>
  <c r="B52" i="1"/>
  <c r="B54" i="1"/>
  <c r="B56" i="1"/>
  <c r="B58" i="1"/>
  <c r="B60" i="1"/>
  <c r="B62" i="1"/>
  <c r="B64" i="1"/>
  <c r="B66" i="1"/>
  <c r="B68" i="1"/>
  <c r="B70" i="1"/>
  <c r="B72" i="1"/>
  <c r="B74" i="1"/>
  <c r="B76" i="1"/>
  <c r="B78" i="1"/>
  <c r="B80" i="1"/>
  <c r="B82" i="1"/>
  <c r="B84" i="1"/>
  <c r="B86" i="1"/>
  <c r="B88" i="1"/>
  <c r="B90" i="1"/>
  <c r="B92" i="1"/>
  <c r="B94" i="1"/>
  <c r="B96" i="1"/>
  <c r="B98" i="1"/>
  <c r="B100" i="1"/>
  <c r="B102" i="1"/>
  <c r="B104" i="1"/>
  <c r="B106" i="1"/>
  <c r="B108" i="1"/>
  <c r="B110" i="1"/>
  <c r="B112" i="1"/>
  <c r="B114" i="1"/>
  <c r="B116" i="1"/>
  <c r="B118" i="1"/>
  <c r="B120" i="1"/>
  <c r="B122" i="1"/>
  <c r="B124" i="1"/>
  <c r="B126" i="1"/>
  <c r="B128" i="1"/>
  <c r="B130" i="1"/>
  <c r="B132" i="1"/>
  <c r="B134" i="1"/>
  <c r="B136" i="1"/>
  <c r="B138" i="1"/>
  <c r="B140" i="1"/>
  <c r="B142" i="1"/>
  <c r="B144" i="1"/>
  <c r="B146" i="1"/>
  <c r="B148" i="1"/>
  <c r="B150" i="1"/>
  <c r="B152" i="1"/>
  <c r="B154" i="1"/>
  <c r="B156" i="1"/>
  <c r="B158" i="1"/>
  <c r="B160" i="1"/>
  <c r="B162" i="1"/>
  <c r="B164" i="1"/>
  <c r="B166" i="1"/>
  <c r="B168" i="1"/>
  <c r="B170" i="1"/>
  <c r="B172" i="1"/>
  <c r="B174" i="1"/>
  <c r="B176" i="1"/>
  <c r="B178" i="1"/>
  <c r="B180" i="1"/>
  <c r="B182" i="1"/>
  <c r="B184" i="1"/>
  <c r="B186" i="1"/>
  <c r="B188" i="1"/>
  <c r="B190" i="1"/>
  <c r="B192" i="1"/>
  <c r="B194" i="1"/>
  <c r="B196" i="1"/>
  <c r="B198" i="1"/>
  <c r="B200" i="1"/>
  <c r="B202" i="1"/>
  <c r="B204" i="1"/>
  <c r="B206" i="1"/>
  <c r="AN10" i="1" l="1"/>
  <c r="AC10" i="1" s="1"/>
  <c r="AN12" i="1"/>
  <c r="AN14" i="1"/>
  <c r="AN16" i="1"/>
  <c r="AN18" i="1"/>
  <c r="AN20" i="1"/>
  <c r="AN22" i="1"/>
  <c r="AN24" i="1"/>
  <c r="AN26" i="1"/>
  <c r="AN28" i="1"/>
  <c r="AN30" i="1"/>
  <c r="AN32" i="1"/>
  <c r="AN34" i="1"/>
  <c r="AN36" i="1"/>
  <c r="AN38" i="1"/>
  <c r="AN40" i="1"/>
  <c r="AN42" i="1"/>
  <c r="AN44" i="1"/>
  <c r="AN46" i="1"/>
  <c r="AN48" i="1"/>
  <c r="AN50" i="1"/>
  <c r="AN52" i="1"/>
  <c r="AN54" i="1"/>
  <c r="AN56" i="1"/>
  <c r="AN58" i="1"/>
  <c r="AN60" i="1"/>
  <c r="AN62" i="1"/>
  <c r="AN64" i="1"/>
  <c r="AN66" i="1"/>
  <c r="AN68" i="1"/>
  <c r="AN70" i="1"/>
  <c r="AN72" i="1"/>
  <c r="AN74" i="1"/>
  <c r="AN76" i="1"/>
  <c r="AN78" i="1"/>
  <c r="AN80" i="1"/>
  <c r="AN82" i="1"/>
  <c r="AN84" i="1"/>
  <c r="AN86" i="1"/>
  <c r="AN88" i="1"/>
  <c r="AN90" i="1"/>
  <c r="AN92" i="1"/>
  <c r="AN94" i="1"/>
  <c r="AN96" i="1"/>
  <c r="AN98" i="1"/>
  <c r="AN100" i="1"/>
  <c r="AN102" i="1"/>
  <c r="AN104" i="1"/>
  <c r="AN106" i="1"/>
  <c r="AN108" i="1"/>
  <c r="AN110" i="1"/>
  <c r="AN112" i="1"/>
  <c r="AN114" i="1"/>
  <c r="AN116" i="1"/>
  <c r="AN118" i="1"/>
  <c r="AN120" i="1"/>
  <c r="AN122" i="1"/>
  <c r="AN124" i="1"/>
  <c r="AN126" i="1"/>
  <c r="AN128" i="1"/>
  <c r="AN130" i="1"/>
  <c r="AN132" i="1"/>
  <c r="AN134" i="1"/>
  <c r="AN136" i="1"/>
  <c r="AN138" i="1"/>
  <c r="AN140" i="1"/>
  <c r="AN142" i="1"/>
  <c r="AN144" i="1"/>
  <c r="AN146" i="1"/>
  <c r="AN148" i="1"/>
  <c r="AN150" i="1"/>
  <c r="AN152" i="1"/>
  <c r="AN154" i="1"/>
  <c r="AN156" i="1"/>
  <c r="AN158" i="1"/>
  <c r="AN160" i="1"/>
  <c r="AN162" i="1"/>
  <c r="AN164" i="1"/>
  <c r="AN166" i="1"/>
  <c r="AN168" i="1"/>
  <c r="AN170" i="1"/>
  <c r="AN172" i="1"/>
  <c r="AN174" i="1"/>
  <c r="AN176" i="1"/>
  <c r="AN178" i="1"/>
  <c r="AN180" i="1"/>
  <c r="AN182" i="1"/>
  <c r="AN184" i="1"/>
  <c r="AN186" i="1"/>
  <c r="AN188" i="1"/>
  <c r="AN190" i="1"/>
  <c r="AN192" i="1"/>
  <c r="AN194" i="1"/>
  <c r="AN196" i="1"/>
  <c r="AN198" i="1"/>
  <c r="AN200" i="1"/>
  <c r="AN202" i="1"/>
  <c r="AN204" i="1"/>
  <c r="AN206" i="1"/>
  <c r="AN8" i="1"/>
  <c r="AC28" i="1" l="1"/>
  <c r="AC200" i="1"/>
  <c r="AC80" i="1"/>
  <c r="AC30" i="1"/>
  <c r="AC100" i="1"/>
  <c r="AC170" i="1"/>
  <c r="AC50" i="1"/>
  <c r="AC24" i="1"/>
  <c r="AC94" i="1"/>
  <c r="AC68" i="1"/>
  <c r="AC186" i="1"/>
  <c r="AC114" i="1"/>
  <c r="AC90" i="1"/>
  <c r="AC66" i="1"/>
  <c r="AC42" i="1"/>
  <c r="AC18" i="1"/>
  <c r="AC176" i="1"/>
  <c r="AC56" i="1"/>
  <c r="AC78" i="1"/>
  <c r="AC194" i="1"/>
  <c r="AC74" i="1"/>
  <c r="AC120" i="1"/>
  <c r="AC190" i="1"/>
  <c r="AC70" i="1"/>
  <c r="AC184" i="1"/>
  <c r="AC112" i="1"/>
  <c r="AC88" i="1"/>
  <c r="AC64" i="1"/>
  <c r="AC40" i="1"/>
  <c r="AC16" i="1"/>
  <c r="AC128" i="1"/>
  <c r="AC198" i="1"/>
  <c r="AC126" i="1"/>
  <c r="AC172" i="1"/>
  <c r="AC76" i="1"/>
  <c r="AC98" i="1"/>
  <c r="AC168" i="1"/>
  <c r="AC72" i="1"/>
  <c r="AC206" i="1"/>
  <c r="AC182" i="1"/>
  <c r="AC110" i="1"/>
  <c r="AC86" i="1"/>
  <c r="AC38" i="1"/>
  <c r="AC14" i="1"/>
  <c r="AC104" i="1"/>
  <c r="AC174" i="1"/>
  <c r="AC54" i="1"/>
  <c r="AC124" i="1"/>
  <c r="AC96" i="1"/>
  <c r="AC46" i="1"/>
  <c r="AC116" i="1"/>
  <c r="AC204" i="1"/>
  <c r="AC180" i="1"/>
  <c r="AC108" i="1"/>
  <c r="AC84" i="1"/>
  <c r="AC36" i="1"/>
  <c r="AC32" i="1"/>
  <c r="AC102" i="1"/>
  <c r="AC196" i="1"/>
  <c r="AC52" i="1"/>
  <c r="AC122" i="1"/>
  <c r="AC192" i="1"/>
  <c r="AC48" i="1"/>
  <c r="AC118" i="1"/>
  <c r="AC188" i="1"/>
  <c r="AC92" i="1"/>
  <c r="AC202" i="1"/>
  <c r="AC178" i="1"/>
  <c r="AC106" i="1"/>
  <c r="AC82" i="1"/>
  <c r="AC58" i="1"/>
  <c r="AC34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Z206" i="1"/>
  <c r="Y206" i="1"/>
  <c r="AA206" i="1" s="1"/>
  <c r="AC207" i="1" s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Z204" i="1"/>
  <c r="Y204" i="1"/>
  <c r="AA204" i="1" s="1"/>
  <c r="AC205" i="1" s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Z202" i="1"/>
  <c r="Y202" i="1"/>
  <c r="AA202" i="1" s="1"/>
  <c r="AC203" i="1" s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Z200" i="1"/>
  <c r="Y200" i="1"/>
  <c r="AA200" i="1" s="1"/>
  <c r="AC201" i="1" s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Z198" i="1"/>
  <c r="Y198" i="1"/>
  <c r="AA198" i="1" s="1"/>
  <c r="AC199" i="1" s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Z196" i="1"/>
  <c r="Y196" i="1"/>
  <c r="AA196" i="1" s="1"/>
  <c r="AC197" i="1" s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Z194" i="1"/>
  <c r="Y194" i="1"/>
  <c r="AA194" i="1" s="1"/>
  <c r="AC195" i="1" s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Z192" i="1"/>
  <c r="Y192" i="1"/>
  <c r="AA192" i="1" s="1"/>
  <c r="AC193" i="1" s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Z190" i="1"/>
  <c r="Y190" i="1"/>
  <c r="AA190" i="1" s="1"/>
  <c r="AC191" i="1" s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Z188" i="1"/>
  <c r="Y188" i="1"/>
  <c r="AA188" i="1" s="1"/>
  <c r="AC189" i="1" s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Z186" i="1"/>
  <c r="Y186" i="1"/>
  <c r="AA186" i="1" s="1"/>
  <c r="AC187" i="1" s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Z184" i="1"/>
  <c r="Y184" i="1"/>
  <c r="AA184" i="1" s="1"/>
  <c r="AC185" i="1" s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Z182" i="1"/>
  <c r="Y182" i="1"/>
  <c r="AA182" i="1" s="1"/>
  <c r="AC183" i="1" s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Z180" i="1"/>
  <c r="Y180" i="1"/>
  <c r="AA180" i="1" s="1"/>
  <c r="AC181" i="1" s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Z178" i="1"/>
  <c r="Y178" i="1"/>
  <c r="AA178" i="1" s="1"/>
  <c r="AC179" i="1" s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Z176" i="1"/>
  <c r="Y176" i="1"/>
  <c r="AA176" i="1" s="1"/>
  <c r="AC177" i="1" s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Z174" i="1"/>
  <c r="Y174" i="1"/>
  <c r="AA174" i="1" s="1"/>
  <c r="AC175" i="1" s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Z172" i="1"/>
  <c r="Y172" i="1"/>
  <c r="AA172" i="1" s="1"/>
  <c r="AC173" i="1" s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Z170" i="1"/>
  <c r="Y170" i="1"/>
  <c r="AA170" i="1" s="1"/>
  <c r="AC171" i="1" s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Z168" i="1"/>
  <c r="Y168" i="1"/>
  <c r="AA168" i="1" s="1"/>
  <c r="AC169" i="1" s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Z166" i="1"/>
  <c r="Y166" i="1"/>
  <c r="AA166" i="1" s="1"/>
  <c r="AC167" i="1" s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Z164" i="1"/>
  <c r="Y164" i="1"/>
  <c r="AA164" i="1" s="1"/>
  <c r="AC164" i="1" s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Z162" i="1"/>
  <c r="Y162" i="1"/>
  <c r="AA162" i="1" s="1"/>
  <c r="AC162" i="1" s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Z160" i="1"/>
  <c r="Y160" i="1"/>
  <c r="AA160" i="1" s="1"/>
  <c r="AC161" i="1" s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Z158" i="1"/>
  <c r="Y158" i="1"/>
  <c r="AA158" i="1" s="1"/>
  <c r="AC159" i="1" s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Z156" i="1"/>
  <c r="Y156" i="1"/>
  <c r="AA156" i="1" s="1"/>
  <c r="AC156" i="1" s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Z154" i="1"/>
  <c r="Y154" i="1"/>
  <c r="AA154" i="1" s="1"/>
  <c r="AC154" i="1" s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Z152" i="1"/>
  <c r="Y152" i="1"/>
  <c r="AA152" i="1" s="1"/>
  <c r="AC153" i="1" s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Z150" i="1"/>
  <c r="Y150" i="1"/>
  <c r="AA150" i="1" s="1"/>
  <c r="AC151" i="1" s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Z148" i="1"/>
  <c r="Y148" i="1"/>
  <c r="AA148" i="1" s="1"/>
  <c r="AC148" i="1" s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Z146" i="1"/>
  <c r="Y146" i="1"/>
  <c r="AA146" i="1" s="1"/>
  <c r="AC147" i="1" s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Z144" i="1"/>
  <c r="Y144" i="1"/>
  <c r="AA144" i="1" s="1"/>
  <c r="AC144" i="1" s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Z142" i="1"/>
  <c r="Y142" i="1"/>
  <c r="AA142" i="1" s="1"/>
  <c r="AC142" i="1" s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Z140" i="1"/>
  <c r="Y140" i="1"/>
  <c r="AA140" i="1" s="1"/>
  <c r="AC141" i="1" s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Z138" i="1"/>
  <c r="Y138" i="1"/>
  <c r="AA138" i="1" s="1"/>
  <c r="AC138" i="1" s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Z136" i="1"/>
  <c r="Y136" i="1"/>
  <c r="AA136" i="1" s="1"/>
  <c r="AC136" i="1" s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Z134" i="1"/>
  <c r="Y134" i="1"/>
  <c r="AA134" i="1" s="1"/>
  <c r="AC135" i="1" s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Z132" i="1"/>
  <c r="Y132" i="1"/>
  <c r="AA132" i="1" s="1"/>
  <c r="AC132" i="1" s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Z130" i="1"/>
  <c r="Y130" i="1"/>
  <c r="AA130" i="1" s="1"/>
  <c r="AC130" i="1" s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Z128" i="1"/>
  <c r="Y128" i="1"/>
  <c r="AA128" i="1" s="1"/>
  <c r="AC129" i="1" s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Z126" i="1"/>
  <c r="Y126" i="1"/>
  <c r="AA126" i="1" s="1"/>
  <c r="AC127" i="1" s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Z124" i="1"/>
  <c r="Y124" i="1"/>
  <c r="AA124" i="1" s="1"/>
  <c r="AC125" i="1" s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Z122" i="1"/>
  <c r="Y122" i="1"/>
  <c r="AA122" i="1" s="1"/>
  <c r="AC123" i="1" s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Z120" i="1"/>
  <c r="Y120" i="1"/>
  <c r="AA120" i="1" s="1"/>
  <c r="AC121" i="1" s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Z118" i="1"/>
  <c r="Y118" i="1"/>
  <c r="AA118" i="1" s="1"/>
  <c r="AC119" i="1" s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Z116" i="1"/>
  <c r="Y116" i="1"/>
  <c r="AA116" i="1" s="1"/>
  <c r="AC117" i="1" s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Z114" i="1"/>
  <c r="Y114" i="1"/>
  <c r="AA114" i="1" s="1"/>
  <c r="AC115" i="1" s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Z112" i="1"/>
  <c r="Y112" i="1"/>
  <c r="AA112" i="1" s="1"/>
  <c r="AC113" i="1" s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Z110" i="1"/>
  <c r="Y110" i="1"/>
  <c r="AA110" i="1" s="1"/>
  <c r="AC111" i="1" s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Z108" i="1"/>
  <c r="Y108" i="1"/>
  <c r="AA108" i="1" s="1"/>
  <c r="AC109" i="1" s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Z106" i="1"/>
  <c r="Y106" i="1"/>
  <c r="AA106" i="1" s="1"/>
  <c r="AC107" i="1" s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Z104" i="1"/>
  <c r="Y104" i="1"/>
  <c r="AA104" i="1" s="1"/>
  <c r="AC105" i="1" s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Z102" i="1"/>
  <c r="Y102" i="1"/>
  <c r="AA102" i="1" s="1"/>
  <c r="AC103" i="1" s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Z100" i="1"/>
  <c r="Y100" i="1"/>
  <c r="AA100" i="1" s="1"/>
  <c r="AC101" i="1" s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Z98" i="1"/>
  <c r="Y98" i="1"/>
  <c r="AA98" i="1" s="1"/>
  <c r="AC99" i="1" s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Z96" i="1"/>
  <c r="Y96" i="1"/>
  <c r="AA96" i="1" s="1"/>
  <c r="AC97" i="1" s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Z94" i="1"/>
  <c r="Y94" i="1"/>
  <c r="AA94" i="1" s="1"/>
  <c r="AC95" i="1" s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Z92" i="1"/>
  <c r="Y92" i="1"/>
  <c r="AA92" i="1" s="1"/>
  <c r="AC93" i="1" s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Z90" i="1"/>
  <c r="Y90" i="1"/>
  <c r="AA90" i="1" s="1"/>
  <c r="AC91" i="1" s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Z88" i="1"/>
  <c r="Y88" i="1"/>
  <c r="AA88" i="1" s="1"/>
  <c r="AC89" i="1" s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Z86" i="1"/>
  <c r="Y86" i="1"/>
  <c r="AA86" i="1" s="1"/>
  <c r="AC87" i="1" s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Z84" i="1"/>
  <c r="Y84" i="1"/>
  <c r="AA84" i="1" s="1"/>
  <c r="AC85" i="1" s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Z82" i="1"/>
  <c r="Y82" i="1"/>
  <c r="AA82" i="1" s="1"/>
  <c r="AC83" i="1" s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Z80" i="1"/>
  <c r="Y80" i="1"/>
  <c r="AA80" i="1" s="1"/>
  <c r="AC81" i="1" s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Z78" i="1"/>
  <c r="Y78" i="1"/>
  <c r="AA78" i="1" s="1"/>
  <c r="AC79" i="1" s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Z76" i="1"/>
  <c r="Y76" i="1"/>
  <c r="AA76" i="1" s="1"/>
  <c r="AC77" i="1" s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Z74" i="1"/>
  <c r="Y74" i="1"/>
  <c r="AA74" i="1" s="1"/>
  <c r="AC75" i="1" s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Z72" i="1"/>
  <c r="Y72" i="1"/>
  <c r="AA72" i="1" s="1"/>
  <c r="AC73" i="1" s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Z70" i="1"/>
  <c r="Y70" i="1"/>
  <c r="AA70" i="1" s="1"/>
  <c r="AC71" i="1" s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Z68" i="1"/>
  <c r="Y68" i="1"/>
  <c r="AA68" i="1" s="1"/>
  <c r="AC69" i="1" s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Z66" i="1"/>
  <c r="Y66" i="1"/>
  <c r="AA66" i="1" s="1"/>
  <c r="AC67" i="1" s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Z64" i="1"/>
  <c r="Y64" i="1"/>
  <c r="AA64" i="1" s="1"/>
  <c r="AC65" i="1" s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Z62" i="1"/>
  <c r="Y62" i="1"/>
  <c r="AA62" i="1" s="1"/>
  <c r="AC63" i="1" s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Z60" i="1"/>
  <c r="Y60" i="1"/>
  <c r="AA60" i="1" s="1"/>
  <c r="AC60" i="1" s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Z58" i="1"/>
  <c r="Y58" i="1"/>
  <c r="AA58" i="1" s="1"/>
  <c r="AC59" i="1" s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Z56" i="1"/>
  <c r="Y56" i="1"/>
  <c r="AA56" i="1" s="1"/>
  <c r="AC57" i="1" s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Z54" i="1"/>
  <c r="Y54" i="1"/>
  <c r="AA54" i="1" s="1"/>
  <c r="AC55" i="1" s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Z52" i="1"/>
  <c r="Y52" i="1"/>
  <c r="AA52" i="1" s="1"/>
  <c r="AC53" i="1" s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Z50" i="1"/>
  <c r="Y50" i="1"/>
  <c r="AA50" i="1" s="1"/>
  <c r="AC51" i="1" s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Z48" i="1"/>
  <c r="Y48" i="1"/>
  <c r="AA48" i="1" s="1"/>
  <c r="AC49" i="1" s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Z46" i="1"/>
  <c r="Y46" i="1"/>
  <c r="AA46" i="1" s="1"/>
  <c r="AC47" i="1" s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Z44" i="1"/>
  <c r="Y44" i="1"/>
  <c r="AA44" i="1" s="1"/>
  <c r="AC44" i="1" s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Z42" i="1"/>
  <c r="Y42" i="1"/>
  <c r="AA42" i="1" s="1"/>
  <c r="AC43" i="1" s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Z40" i="1"/>
  <c r="Y40" i="1"/>
  <c r="AA40" i="1" s="1"/>
  <c r="AC41" i="1" s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Z38" i="1"/>
  <c r="Y38" i="1"/>
  <c r="AA38" i="1" s="1"/>
  <c r="AC39" i="1" s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Z36" i="1"/>
  <c r="Y36" i="1"/>
  <c r="AA36" i="1" s="1"/>
  <c r="AC37" i="1" s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Z34" i="1"/>
  <c r="Y34" i="1"/>
  <c r="AA34" i="1" s="1"/>
  <c r="AC35" i="1" s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Z32" i="1"/>
  <c r="Y32" i="1"/>
  <c r="AA32" i="1" s="1"/>
  <c r="AC33" i="1" s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Z30" i="1"/>
  <c r="Y30" i="1"/>
  <c r="AA30" i="1" s="1"/>
  <c r="AC31" i="1" s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Z28" i="1"/>
  <c r="Y28" i="1"/>
  <c r="AA28" i="1" s="1"/>
  <c r="AC29" i="1" s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Z26" i="1"/>
  <c r="Y26" i="1"/>
  <c r="AA26" i="1" s="1"/>
  <c r="AC27" i="1" s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Z24" i="1"/>
  <c r="Y24" i="1"/>
  <c r="AA24" i="1" s="1"/>
  <c r="AC25" i="1" s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Z22" i="1"/>
  <c r="Y22" i="1"/>
  <c r="AA22" i="1" s="1"/>
  <c r="AC22" i="1" s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Z20" i="1"/>
  <c r="Y20" i="1"/>
  <c r="AA20" i="1" s="1"/>
  <c r="AC20" i="1" s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Z18" i="1"/>
  <c r="Y18" i="1"/>
  <c r="AA18" i="1" s="1"/>
  <c r="AC19" i="1" s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Z16" i="1"/>
  <c r="Y16" i="1"/>
  <c r="AA16" i="1" s="1"/>
  <c r="AC17" i="1" s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Z14" i="1"/>
  <c r="Y14" i="1"/>
  <c r="AA14" i="1" s="1"/>
  <c r="AC15" i="1" s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Z12" i="1"/>
  <c r="Y12" i="1"/>
  <c r="AA12" i="1" s="1"/>
  <c r="AC12" i="1" s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Z10" i="1"/>
  <c r="Y10" i="1"/>
  <c r="AA10" i="1" s="1"/>
  <c r="AD205" i="1" l="1"/>
  <c r="AD204" i="1"/>
  <c r="AD200" i="1"/>
  <c r="AD201" i="1"/>
  <c r="AD171" i="1"/>
  <c r="AD170" i="1"/>
  <c r="AD186" i="1"/>
  <c r="AD187" i="1"/>
  <c r="AD203" i="1"/>
  <c r="AD202" i="1"/>
  <c r="AD172" i="1"/>
  <c r="AD173" i="1"/>
  <c r="AD188" i="1"/>
  <c r="AD189" i="1"/>
  <c r="AD175" i="1"/>
  <c r="AD174" i="1"/>
  <c r="AD191" i="1"/>
  <c r="AD190" i="1"/>
  <c r="AD176" i="1"/>
  <c r="AD177" i="1"/>
  <c r="AD192" i="1"/>
  <c r="AD193" i="1"/>
  <c r="AD168" i="1"/>
  <c r="AD169" i="1"/>
  <c r="AD179" i="1"/>
  <c r="AD178" i="1"/>
  <c r="AD195" i="1"/>
  <c r="AD194" i="1"/>
  <c r="AD180" i="1"/>
  <c r="AD181" i="1"/>
  <c r="AD196" i="1"/>
  <c r="AD197" i="1"/>
  <c r="AD184" i="1"/>
  <c r="AD185" i="1"/>
  <c r="AD183" i="1"/>
  <c r="AD182" i="1"/>
  <c r="AD199" i="1"/>
  <c r="AD198" i="1"/>
  <c r="AD16" i="1"/>
  <c r="AD17" i="1"/>
  <c r="AD32" i="1"/>
  <c r="AD33" i="1"/>
  <c r="AD48" i="1"/>
  <c r="AD49" i="1"/>
  <c r="AD64" i="1"/>
  <c r="AD65" i="1"/>
  <c r="AD80" i="1"/>
  <c r="AD81" i="1"/>
  <c r="AD96" i="1"/>
  <c r="AD97" i="1"/>
  <c r="AD112" i="1"/>
  <c r="AD113" i="1"/>
  <c r="AD128" i="1"/>
  <c r="AD129" i="1"/>
  <c r="AD144" i="1"/>
  <c r="AD145" i="1"/>
  <c r="AD160" i="1"/>
  <c r="AD161" i="1"/>
  <c r="AD20" i="1"/>
  <c r="AD21" i="1" s="1"/>
  <c r="AD36" i="1"/>
  <c r="AD37" i="1"/>
  <c r="AD52" i="1"/>
  <c r="AD53" i="1"/>
  <c r="AD68" i="1"/>
  <c r="AD69" i="1"/>
  <c r="AD84" i="1"/>
  <c r="AD85" i="1"/>
  <c r="AD100" i="1"/>
  <c r="AD101" i="1"/>
  <c r="AD116" i="1"/>
  <c r="AD117" i="1"/>
  <c r="AD132" i="1"/>
  <c r="AD133" i="1"/>
  <c r="AD148" i="1"/>
  <c r="AD149" i="1"/>
  <c r="AD164" i="1"/>
  <c r="AD165" i="1"/>
  <c r="AC165" i="1"/>
  <c r="AD66" i="1"/>
  <c r="AD67" i="1"/>
  <c r="AD114" i="1"/>
  <c r="AD115" i="1"/>
  <c r="AD131" i="1"/>
  <c r="AD130" i="1"/>
  <c r="AD22" i="1"/>
  <c r="AD23" i="1"/>
  <c r="AD38" i="1"/>
  <c r="AD39" i="1"/>
  <c r="AD54" i="1"/>
  <c r="AD55" i="1"/>
  <c r="AD70" i="1"/>
  <c r="AD71" i="1"/>
  <c r="AD86" i="1"/>
  <c r="AD87" i="1"/>
  <c r="AD102" i="1"/>
  <c r="AD103" i="1"/>
  <c r="AD118" i="1"/>
  <c r="AD119" i="1"/>
  <c r="AD134" i="1"/>
  <c r="AD135" i="1"/>
  <c r="AD150" i="1"/>
  <c r="AD151" i="1"/>
  <c r="AD166" i="1"/>
  <c r="AD167" i="1"/>
  <c r="AC140" i="1"/>
  <c r="AC150" i="1"/>
  <c r="AD83" i="1"/>
  <c r="AD82" i="1"/>
  <c r="AD162" i="1"/>
  <c r="AD163" i="1"/>
  <c r="AD24" i="1"/>
  <c r="AD25" i="1"/>
  <c r="AD40" i="1"/>
  <c r="AD41" i="1"/>
  <c r="AD56" i="1"/>
  <c r="AD57" i="1"/>
  <c r="AD72" i="1"/>
  <c r="AD73" i="1"/>
  <c r="AD88" i="1"/>
  <c r="AD89" i="1"/>
  <c r="AD104" i="1"/>
  <c r="AD105" i="1"/>
  <c r="AD120" i="1"/>
  <c r="AD121" i="1"/>
  <c r="AD136" i="1"/>
  <c r="AD137" i="1"/>
  <c r="AD152" i="1"/>
  <c r="AD153" i="1"/>
  <c r="AD50" i="1"/>
  <c r="AD51" i="1"/>
  <c r="AD27" i="1"/>
  <c r="AD26" i="1"/>
  <c r="AD43" i="1"/>
  <c r="AD42" i="1"/>
  <c r="AD58" i="1"/>
  <c r="AD59" i="1"/>
  <c r="AD75" i="1"/>
  <c r="AD74" i="1"/>
  <c r="AD90" i="1"/>
  <c r="AD91" i="1"/>
  <c r="AD106" i="1"/>
  <c r="AD107" i="1"/>
  <c r="AD123" i="1"/>
  <c r="AD122" i="1"/>
  <c r="AD139" i="1"/>
  <c r="AD138" i="1"/>
  <c r="AD154" i="1"/>
  <c r="AD155" i="1"/>
  <c r="AC152" i="1"/>
  <c r="AD19" i="1"/>
  <c r="AD18" i="1"/>
  <c r="AD12" i="1"/>
  <c r="AD13" i="1"/>
  <c r="AD28" i="1"/>
  <c r="AD29" i="1"/>
  <c r="AD44" i="1"/>
  <c r="AD45" i="1"/>
  <c r="AD60" i="1"/>
  <c r="AD61" i="1"/>
  <c r="AD76" i="1"/>
  <c r="AD77" i="1"/>
  <c r="AD92" i="1"/>
  <c r="AD93" i="1"/>
  <c r="AD108" i="1"/>
  <c r="AD109" i="1"/>
  <c r="AD124" i="1"/>
  <c r="AD125" i="1"/>
  <c r="AD140" i="1"/>
  <c r="AD141" i="1"/>
  <c r="AD156" i="1"/>
  <c r="AD157" i="1"/>
  <c r="AC163" i="1"/>
  <c r="AD35" i="1"/>
  <c r="AD34" i="1"/>
  <c r="AD99" i="1"/>
  <c r="AD98" i="1"/>
  <c r="AD146" i="1"/>
  <c r="AD147" i="1"/>
  <c r="AD14" i="1"/>
  <c r="AD15" i="1"/>
  <c r="AD30" i="1"/>
  <c r="AD31" i="1"/>
  <c r="AD46" i="1"/>
  <c r="AD47" i="1"/>
  <c r="AD62" i="1"/>
  <c r="AD63" i="1"/>
  <c r="AD78" i="1"/>
  <c r="AD79" i="1"/>
  <c r="AD94" i="1"/>
  <c r="AD95" i="1"/>
  <c r="AD110" i="1"/>
  <c r="AD111" i="1"/>
  <c r="AD126" i="1"/>
  <c r="AD127" i="1"/>
  <c r="AD142" i="1"/>
  <c r="AD143" i="1"/>
  <c r="AD158" i="1"/>
  <c r="AD159" i="1"/>
  <c r="AC166" i="1"/>
  <c r="AC11" i="1"/>
  <c r="AC13" i="1"/>
  <c r="AC134" i="1"/>
  <c r="AC45" i="1"/>
  <c r="AC137" i="1"/>
  <c r="AC131" i="1"/>
  <c r="AC133" i="1"/>
  <c r="AC26" i="1"/>
  <c r="AC62" i="1"/>
  <c r="AC158" i="1"/>
  <c r="AC23" i="1"/>
  <c r="AC160" i="1"/>
  <c r="AC149" i="1"/>
  <c r="AC21" i="1"/>
  <c r="AC155" i="1"/>
  <c r="AC61" i="1"/>
  <c r="AC157" i="1"/>
  <c r="AC146" i="1"/>
  <c r="AC143" i="1"/>
  <c r="AC139" i="1"/>
  <c r="AC145" i="1"/>
  <c r="AD10" i="1"/>
  <c r="AD11" i="1" s="1"/>
  <c r="AD206" i="1"/>
  <c r="AD207" i="1" s="1"/>
  <c r="AO50" i="1"/>
  <c r="AB50" i="1" s="1"/>
  <c r="AB51" i="1" s="1"/>
  <c r="AO66" i="1"/>
  <c r="AB66" i="1" s="1"/>
  <c r="AB67" i="1" s="1"/>
  <c r="AO78" i="1"/>
  <c r="AB78" i="1" s="1"/>
  <c r="AB79" i="1" s="1"/>
  <c r="AO170" i="1"/>
  <c r="AB170" i="1" s="1"/>
  <c r="AB171" i="1" s="1"/>
  <c r="AO70" i="1"/>
  <c r="AB70" i="1" s="1"/>
  <c r="AB71" i="1" s="1"/>
  <c r="AO148" i="1"/>
  <c r="AB148" i="1" s="1"/>
  <c r="AB149" i="1" s="1"/>
  <c r="AO18" i="1"/>
  <c r="AB18" i="1" s="1"/>
  <c r="AB19" i="1" s="1"/>
  <c r="AO86" i="1"/>
  <c r="AB86" i="1" s="1"/>
  <c r="AB87" i="1" s="1"/>
  <c r="AO14" i="1"/>
  <c r="AB14" i="1" s="1"/>
  <c r="AB15" i="1" s="1"/>
  <c r="AO166" i="1"/>
  <c r="AB166" i="1" s="1"/>
  <c r="AB167" i="1" s="1"/>
  <c r="AO76" i="1"/>
  <c r="AB76" i="1" s="1"/>
  <c r="AB77" i="1" s="1"/>
  <c r="AO144" i="1"/>
  <c r="AB144" i="1" s="1"/>
  <c r="AB145" i="1" s="1"/>
  <c r="AO150" i="1"/>
  <c r="AB150" i="1" s="1"/>
  <c r="AB151" i="1" s="1"/>
  <c r="AO160" i="1"/>
  <c r="AB160" i="1" s="1"/>
  <c r="AB161" i="1" s="1"/>
  <c r="AO162" i="1"/>
  <c r="AB162" i="1" s="1"/>
  <c r="AB163" i="1" s="1"/>
  <c r="AO168" i="1"/>
  <c r="AB168" i="1" s="1"/>
  <c r="AB169" i="1" s="1"/>
  <c r="AO180" i="1"/>
  <c r="AB180" i="1" s="1"/>
  <c r="AB181" i="1" s="1"/>
  <c r="AO182" i="1"/>
  <c r="AB182" i="1" s="1"/>
  <c r="AB183" i="1" s="1"/>
  <c r="AO190" i="1"/>
  <c r="AB190" i="1" s="1"/>
  <c r="AB191" i="1" s="1"/>
  <c r="AO48" i="1"/>
  <c r="AB48" i="1" s="1"/>
  <c r="AB49" i="1" s="1"/>
  <c r="AO56" i="1"/>
  <c r="AB56" i="1" s="1"/>
  <c r="AB57" i="1" s="1"/>
  <c r="AO136" i="1"/>
  <c r="AB136" i="1" s="1"/>
  <c r="AB137" i="1" s="1"/>
  <c r="AO152" i="1"/>
  <c r="AB152" i="1" s="1"/>
  <c r="AB153" i="1" s="1"/>
  <c r="AO154" i="1"/>
  <c r="AB154" i="1" s="1"/>
  <c r="AB155" i="1" s="1"/>
  <c r="AO176" i="1"/>
  <c r="AB176" i="1" s="1"/>
  <c r="AB177" i="1" s="1"/>
  <c r="AO184" i="1"/>
  <c r="AB184" i="1" s="1"/>
  <c r="AB185" i="1" s="1"/>
  <c r="AO188" i="1"/>
  <c r="AB188" i="1" s="1"/>
  <c r="AB189" i="1" s="1"/>
  <c r="AO192" i="1"/>
  <c r="AB192" i="1" s="1"/>
  <c r="AB193" i="1" s="1"/>
  <c r="AO72" i="1"/>
  <c r="AB72" i="1" s="1"/>
  <c r="AB73" i="1" s="1"/>
  <c r="AO80" i="1"/>
  <c r="AB80" i="1" s="1"/>
  <c r="AB81" i="1" s="1"/>
  <c r="AO88" i="1"/>
  <c r="AB88" i="1" s="1"/>
  <c r="AB89" i="1" s="1"/>
  <c r="AO128" i="1"/>
  <c r="AB128" i="1" s="1"/>
  <c r="AB129" i="1" s="1"/>
  <c r="AO146" i="1"/>
  <c r="AB146" i="1" s="1"/>
  <c r="AB147" i="1" s="1"/>
  <c r="AO194" i="1"/>
  <c r="AB194" i="1" s="1"/>
  <c r="AB195" i="1" s="1"/>
  <c r="AO198" i="1"/>
  <c r="AB198" i="1" s="1"/>
  <c r="AB199" i="1" s="1"/>
  <c r="AO68" i="1"/>
  <c r="AB68" i="1" s="1"/>
  <c r="AB69" i="1" s="1"/>
  <c r="AO172" i="1"/>
  <c r="AB172" i="1" s="1"/>
  <c r="AB173" i="1" s="1"/>
  <c r="AO96" i="1"/>
  <c r="AB96" i="1" s="1"/>
  <c r="AB97" i="1" s="1"/>
  <c r="AO28" i="1"/>
  <c r="AB28" i="1" s="1"/>
  <c r="AB29" i="1" s="1"/>
  <c r="AO158" i="1"/>
  <c r="AB158" i="1" s="1"/>
  <c r="AB159" i="1" s="1"/>
  <c r="AO60" i="1"/>
  <c r="AB60" i="1" s="1"/>
  <c r="AB61" i="1" s="1"/>
  <c r="AO196" i="1"/>
  <c r="AB196" i="1" s="1"/>
  <c r="AB197" i="1" s="1"/>
  <c r="AO200" i="1"/>
  <c r="AB200" i="1" s="1"/>
  <c r="AB201" i="1" s="1"/>
  <c r="AO52" i="1"/>
  <c r="AB52" i="1" s="1"/>
  <c r="AB53" i="1" s="1"/>
  <c r="AO130" i="1"/>
  <c r="AB130" i="1" s="1"/>
  <c r="AB131" i="1" s="1"/>
  <c r="AO140" i="1"/>
  <c r="AB140" i="1" s="1"/>
  <c r="AB141" i="1" s="1"/>
  <c r="AO204" i="1"/>
  <c r="AB204" i="1" s="1"/>
  <c r="AB205" i="1" s="1"/>
  <c r="AO26" i="1"/>
  <c r="AB26" i="1" s="1"/>
  <c r="AB27" i="1" s="1"/>
  <c r="AO44" i="1"/>
  <c r="AB44" i="1" s="1"/>
  <c r="AB45" i="1" s="1"/>
  <c r="AO90" i="1"/>
  <c r="AB90" i="1" s="1"/>
  <c r="AB91" i="1" s="1"/>
  <c r="AO94" i="1"/>
  <c r="AB94" i="1" s="1"/>
  <c r="AB95" i="1" s="1"/>
  <c r="AO118" i="1"/>
  <c r="AB118" i="1" s="1"/>
  <c r="AB119" i="1" s="1"/>
  <c r="AO126" i="1"/>
  <c r="AB126" i="1" s="1"/>
  <c r="AB127" i="1" s="1"/>
  <c r="AO186" i="1"/>
  <c r="AB186" i="1" s="1"/>
  <c r="AB187" i="1" s="1"/>
  <c r="AO138" i="1"/>
  <c r="AB138" i="1" s="1"/>
  <c r="AB139" i="1" s="1"/>
  <c r="AO22" i="1"/>
  <c r="AB22" i="1" s="1"/>
  <c r="AB23" i="1" s="1"/>
  <c r="AO32" i="1"/>
  <c r="AB32" i="1" s="1"/>
  <c r="AB33" i="1" s="1"/>
  <c r="AO46" i="1"/>
  <c r="AB46" i="1" s="1"/>
  <c r="AB47" i="1" s="1"/>
  <c r="AO104" i="1"/>
  <c r="AB104" i="1" s="1"/>
  <c r="AB105" i="1" s="1"/>
  <c r="AO36" i="1"/>
  <c r="AB36" i="1" s="1"/>
  <c r="AB37" i="1" s="1"/>
  <c r="AO40" i="1"/>
  <c r="AB40" i="1" s="1"/>
  <c r="AB41" i="1" s="1"/>
  <c r="AO108" i="1"/>
  <c r="AB108" i="1" s="1"/>
  <c r="AB109" i="1" s="1"/>
  <c r="AO20" i="1"/>
  <c r="AB20" i="1" s="1"/>
  <c r="AB21" i="1" s="1"/>
  <c r="AO74" i="1"/>
  <c r="AB74" i="1" s="1"/>
  <c r="AB75" i="1" s="1"/>
  <c r="AO82" i="1"/>
  <c r="AB82" i="1" s="1"/>
  <c r="AB83" i="1" s="1"/>
  <c r="AO98" i="1"/>
  <c r="AB98" i="1" s="1"/>
  <c r="AB99" i="1" s="1"/>
  <c r="AO102" i="1"/>
  <c r="AB102" i="1" s="1"/>
  <c r="AB103" i="1" s="1"/>
  <c r="AO116" i="1"/>
  <c r="AB116" i="1" s="1"/>
  <c r="AB117" i="1" s="1"/>
  <c r="AO120" i="1"/>
  <c r="AB120" i="1" s="1"/>
  <c r="AB121" i="1" s="1"/>
  <c r="AO122" i="1"/>
  <c r="AB122" i="1" s="1"/>
  <c r="AB123" i="1" s="1"/>
  <c r="AO202" i="1"/>
  <c r="AB202" i="1" s="1"/>
  <c r="AB203" i="1" s="1"/>
  <c r="AO84" i="1"/>
  <c r="AB84" i="1" s="1"/>
  <c r="AB85" i="1" s="1"/>
  <c r="AO174" i="1"/>
  <c r="AB174" i="1" s="1"/>
  <c r="AB175" i="1" s="1"/>
  <c r="AO178" i="1"/>
  <c r="AB178" i="1" s="1"/>
  <c r="AB179" i="1" s="1"/>
  <c r="AO64" i="1"/>
  <c r="AB64" i="1" s="1"/>
  <c r="AB65" i="1" s="1"/>
  <c r="AO58" i="1"/>
  <c r="AB58" i="1" s="1"/>
  <c r="AB59" i="1" s="1"/>
  <c r="AO38" i="1"/>
  <c r="AB38" i="1" s="1"/>
  <c r="AB39" i="1" s="1"/>
  <c r="AO110" i="1"/>
  <c r="AB110" i="1" s="1"/>
  <c r="AB111" i="1" s="1"/>
  <c r="AO114" i="1"/>
  <c r="AB114" i="1" s="1"/>
  <c r="AB115" i="1" s="1"/>
  <c r="AO132" i="1"/>
  <c r="AB132" i="1" s="1"/>
  <c r="AB133" i="1" s="1"/>
  <c r="AO34" i="1"/>
  <c r="AB34" i="1" s="1"/>
  <c r="AB35" i="1" s="1"/>
  <c r="AO62" i="1"/>
  <c r="AB62" i="1" s="1"/>
  <c r="AB63" i="1" s="1"/>
  <c r="AO106" i="1"/>
  <c r="AB106" i="1" s="1"/>
  <c r="AB107" i="1" s="1"/>
  <c r="AO124" i="1"/>
  <c r="AB124" i="1" s="1"/>
  <c r="AB125" i="1" s="1"/>
  <c r="AO142" i="1"/>
  <c r="AB142" i="1" s="1"/>
  <c r="AB143" i="1" s="1"/>
  <c r="AO164" i="1"/>
  <c r="AB164" i="1" s="1"/>
  <c r="AB165" i="1" s="1"/>
  <c r="AO30" i="1"/>
  <c r="AB30" i="1" s="1"/>
  <c r="AB31" i="1" s="1"/>
  <c r="AO92" i="1"/>
  <c r="AB92" i="1" s="1"/>
  <c r="AB93" i="1" s="1"/>
  <c r="AO100" i="1"/>
  <c r="AB100" i="1" s="1"/>
  <c r="AB101" i="1" s="1"/>
  <c r="AO112" i="1"/>
  <c r="AB112" i="1" s="1"/>
  <c r="AB113" i="1" s="1"/>
  <c r="AO24" i="1"/>
  <c r="AB24" i="1" s="1"/>
  <c r="AB25" i="1" s="1"/>
  <c r="AO42" i="1"/>
  <c r="AB42" i="1" s="1"/>
  <c r="AB43" i="1" s="1"/>
  <c r="AO54" i="1"/>
  <c r="AB54" i="1" s="1"/>
  <c r="AB55" i="1" s="1"/>
  <c r="AO134" i="1"/>
  <c r="AB134" i="1" s="1"/>
  <c r="AB135" i="1" s="1"/>
  <c r="AO156" i="1"/>
  <c r="AB156" i="1" s="1"/>
  <c r="AB157" i="1" s="1"/>
  <c r="AO16" i="1"/>
  <c r="AB16" i="1" s="1"/>
  <c r="AB17" i="1" s="1"/>
  <c r="AO12" i="1"/>
  <c r="AB12" i="1" s="1"/>
  <c r="AB13" i="1" s="1"/>
  <c r="AO10" i="1"/>
  <c r="AB10" i="1" s="1"/>
  <c r="AB11" i="1" s="1"/>
  <c r="AO206" i="1"/>
  <c r="AB206" i="1" s="1"/>
  <c r="AB207" i="1" s="1"/>
  <c r="AE2" i="1"/>
  <c r="AE1" i="1"/>
  <c r="I6" i="1" s="1"/>
  <c r="AE168" i="1" l="1"/>
  <c r="AF168" i="1" s="1"/>
  <c r="AE58" i="1"/>
  <c r="AF58" i="1" s="1"/>
  <c r="AE34" i="1"/>
  <c r="AF34" i="1" s="1"/>
  <c r="AE20" i="1"/>
  <c r="AF20" i="1" s="1"/>
  <c r="AE92" i="1"/>
  <c r="AF92" i="1" s="1"/>
  <c r="AE68" i="1"/>
  <c r="AF68" i="1" s="1"/>
  <c r="AE158" i="1"/>
  <c r="AF158" i="1" s="1"/>
  <c r="AE138" i="1"/>
  <c r="AF138" i="1" s="1"/>
  <c r="AE18" i="1"/>
  <c r="AF18" i="1" s="1"/>
  <c r="AE70" i="1"/>
  <c r="AF70" i="1" s="1"/>
  <c r="AE140" i="1"/>
  <c r="AF140" i="1" s="1"/>
  <c r="AE164" i="1"/>
  <c r="AF164" i="1" s="1"/>
  <c r="AE14" i="1"/>
  <c r="AF14" i="1" s="1"/>
  <c r="AE42" i="1"/>
  <c r="AF42" i="1" s="1"/>
  <c r="AE112" i="1"/>
  <c r="AF112" i="1" s="1"/>
  <c r="AE172" i="1"/>
  <c r="AF172" i="1" s="1"/>
  <c r="AE200" i="1"/>
  <c r="AF200" i="1" s="1"/>
  <c r="AE170" i="1"/>
  <c r="AF170" i="1" s="1"/>
  <c r="AE144" i="1"/>
  <c r="AF144" i="1" s="1"/>
  <c r="AE96" i="1"/>
  <c r="AF96" i="1" s="1"/>
  <c r="AE48" i="1"/>
  <c r="AF48" i="1" s="1"/>
  <c r="AE26" i="1"/>
  <c r="AF26" i="1" s="1"/>
  <c r="AE88" i="1"/>
  <c r="AF88" i="1" s="1"/>
  <c r="AE118" i="1"/>
  <c r="AF118" i="1" s="1"/>
  <c r="AE194" i="1"/>
  <c r="AF194" i="1" s="1"/>
  <c r="AE82" i="1"/>
  <c r="AF82" i="1" s="1"/>
  <c r="AE90" i="1"/>
  <c r="AF90" i="1" s="1"/>
  <c r="AE46" i="1"/>
  <c r="AF46" i="1" s="1"/>
  <c r="AE50" i="1"/>
  <c r="AF50" i="1" s="1"/>
  <c r="AE102" i="1"/>
  <c r="AF102" i="1" s="1"/>
  <c r="AE38" i="1"/>
  <c r="AF38" i="1" s="1"/>
  <c r="AE124" i="1"/>
  <c r="AF124" i="1" s="1"/>
  <c r="AE52" i="1"/>
  <c r="AF52" i="1" s="1"/>
  <c r="AE182" i="1"/>
  <c r="AF182" i="1" s="1"/>
  <c r="AE166" i="1"/>
  <c r="AF166" i="1" s="1"/>
  <c r="AE174" i="1"/>
  <c r="AF174" i="1" s="1"/>
  <c r="AE162" i="1"/>
  <c r="AF162" i="1" s="1"/>
  <c r="AE156" i="1"/>
  <c r="AF156" i="1" s="1"/>
  <c r="AE136" i="1"/>
  <c r="AF136" i="1" s="1"/>
  <c r="AE98" i="1"/>
  <c r="AF98" i="1" s="1"/>
  <c r="AE142" i="1"/>
  <c r="AF142" i="1" s="1"/>
  <c r="AE12" i="1"/>
  <c r="AF12" i="1" s="1"/>
  <c r="AE24" i="1"/>
  <c r="AF24" i="1" s="1"/>
  <c r="AE152" i="1"/>
  <c r="AF152" i="1" s="1"/>
  <c r="AE130" i="1"/>
  <c r="AF130" i="1" s="1"/>
  <c r="AE40" i="1"/>
  <c r="AF40" i="1" s="1"/>
  <c r="AE184" i="1"/>
  <c r="AF184" i="1" s="1"/>
  <c r="AE74" i="1"/>
  <c r="AF74" i="1" s="1"/>
  <c r="AE28" i="1"/>
  <c r="AF28" i="1" s="1"/>
  <c r="AE114" i="1"/>
  <c r="AF114" i="1" s="1"/>
  <c r="AE190" i="1"/>
  <c r="AF190" i="1" s="1"/>
  <c r="AE180" i="1"/>
  <c r="AF180" i="1" s="1"/>
  <c r="AE16" i="1"/>
  <c r="AF16" i="1" s="1"/>
  <c r="AE72" i="1"/>
  <c r="AF72" i="1" s="1"/>
  <c r="AE132" i="1"/>
  <c r="AF132" i="1" s="1"/>
  <c r="AE84" i="1"/>
  <c r="AF84" i="1" s="1"/>
  <c r="AE30" i="1"/>
  <c r="AF30" i="1" s="1"/>
  <c r="AE78" i="1"/>
  <c r="AF78" i="1" s="1"/>
  <c r="AE62" i="1"/>
  <c r="AF62" i="1" s="1"/>
  <c r="AE56" i="1"/>
  <c r="AF56" i="1" s="1"/>
  <c r="AE198" i="1"/>
  <c r="AF198" i="1" s="1"/>
  <c r="AE120" i="1"/>
  <c r="AF120" i="1" s="1"/>
  <c r="AE54" i="1"/>
  <c r="AF54" i="1" s="1"/>
  <c r="AE204" i="1"/>
  <c r="AF204" i="1" s="1"/>
  <c r="AE36" i="1"/>
  <c r="AF36" i="1" s="1"/>
  <c r="AE186" i="1"/>
  <c r="AF186" i="1" s="1"/>
  <c r="AE160" i="1"/>
  <c r="AF160" i="1" s="1"/>
  <c r="AE80" i="1"/>
  <c r="AF80" i="1" s="1"/>
  <c r="AE202" i="1"/>
  <c r="AF202" i="1" s="1"/>
  <c r="AE188" i="1"/>
  <c r="AF188" i="1" s="1"/>
  <c r="AE150" i="1"/>
  <c r="AF150" i="1" s="1"/>
  <c r="AE32" i="1"/>
  <c r="AF32" i="1" s="1"/>
  <c r="AE196" i="1"/>
  <c r="AF196" i="1" s="1"/>
  <c r="AE60" i="1"/>
  <c r="AF60" i="1" s="1"/>
  <c r="AE116" i="1"/>
  <c r="AF116" i="1" s="1"/>
  <c r="AE126" i="1"/>
  <c r="AF126" i="1" s="1"/>
  <c r="AE44" i="1"/>
  <c r="AF44" i="1" s="1"/>
  <c r="AE106" i="1"/>
  <c r="AF106" i="1" s="1"/>
  <c r="AE110" i="1"/>
  <c r="AF110" i="1" s="1"/>
  <c r="AE206" i="1"/>
  <c r="AF206" i="1" s="1"/>
  <c r="AE122" i="1"/>
  <c r="AF122" i="1" s="1"/>
  <c r="AE86" i="1"/>
  <c r="AF86" i="1" s="1"/>
  <c r="AE66" i="1"/>
  <c r="AF66" i="1" s="1"/>
  <c r="AE192" i="1"/>
  <c r="AF192" i="1" s="1"/>
  <c r="AE22" i="1"/>
  <c r="AF22" i="1" s="1"/>
  <c r="AE154" i="1"/>
  <c r="AF154" i="1" s="1"/>
  <c r="AE148" i="1"/>
  <c r="AF148" i="1" s="1"/>
  <c r="AE176" i="1"/>
  <c r="AF176" i="1" s="1"/>
  <c r="AE128" i="1"/>
  <c r="AF128" i="1" s="1"/>
  <c r="AE134" i="1"/>
  <c r="AF134" i="1" s="1"/>
  <c r="AE94" i="1"/>
  <c r="AF94" i="1" s="1"/>
  <c r="AE178" i="1"/>
  <c r="AF178" i="1" s="1"/>
  <c r="AE64" i="1"/>
  <c r="AF64" i="1" s="1"/>
  <c r="AE100" i="1"/>
  <c r="AF100" i="1" s="1"/>
  <c r="AE76" i="1"/>
  <c r="AF76" i="1" s="1"/>
  <c r="AE10" i="1"/>
  <c r="AF10" i="1" s="1"/>
  <c r="AE146" i="1"/>
  <c r="AF146" i="1" s="1"/>
  <c r="AE108" i="1"/>
  <c r="AF108" i="1" s="1"/>
  <c r="AE104" i="1"/>
  <c r="AF104" i="1" s="1"/>
  <c r="J6" i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C4" i="1"/>
  <c r="BE9" i="1" l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Z8" i="1"/>
  <c r="AD8" i="1" s="1"/>
  <c r="Y8" i="1"/>
  <c r="Y4" i="1" s="1"/>
  <c r="AJ5" i="1"/>
  <c r="X5" i="1"/>
  <c r="W5" i="1"/>
  <c r="W4" i="1"/>
  <c r="V5" i="1"/>
  <c r="V4" i="1"/>
  <c r="U5" i="1"/>
  <c r="U4" i="1"/>
  <c r="T5" i="1"/>
  <c r="T4" i="1"/>
  <c r="S5" i="1"/>
  <c r="S4" i="1"/>
  <c r="R5" i="1"/>
  <c r="R4" i="1"/>
  <c r="Q5" i="1"/>
  <c r="Q4" i="1"/>
  <c r="P5" i="1"/>
  <c r="P4" i="1"/>
  <c r="O5" i="1"/>
  <c r="O4" i="1"/>
  <c r="N5" i="1"/>
  <c r="N4" i="1"/>
  <c r="M5" i="1"/>
  <c r="M4" i="1"/>
  <c r="L5" i="1"/>
  <c r="L4" i="1"/>
  <c r="K5" i="1"/>
  <c r="K4" i="1"/>
  <c r="J5" i="1"/>
  <c r="J4" i="1"/>
  <c r="I5" i="1"/>
  <c r="I4" i="1"/>
  <c r="B8" i="1"/>
  <c r="Z4" i="1" l="1"/>
  <c r="AA8" i="1"/>
  <c r="AC8" i="1" s="1"/>
  <c r="AO8" i="1"/>
  <c r="AB8" i="1" s="1"/>
  <c r="AB9" i="1" s="1"/>
  <c r="AC9" i="1" l="1"/>
  <c r="AD9" i="1"/>
  <c r="AB4" i="1"/>
  <c r="AB5" i="1"/>
  <c r="AD5" i="1" l="1"/>
  <c r="AD4" i="1"/>
  <c r="AE8" i="1"/>
  <c r="AC5" i="1"/>
  <c r="AC4" i="1"/>
  <c r="AE4" i="1" l="1"/>
  <c r="AF8" i="1"/>
  <c r="AF4" i="1" s="1"/>
</calcChain>
</file>

<file path=xl/sharedStrings.xml><?xml version="1.0" encoding="utf-8"?>
<sst xmlns="http://schemas.openxmlformats.org/spreadsheetml/2006/main" count="55" uniqueCount="54">
  <si>
    <t>일 당</t>
    <phoneticPr fontId="1" type="noConversion"/>
  </si>
  <si>
    <t>합 계</t>
    <phoneticPr fontId="1" type="noConversion"/>
  </si>
  <si>
    <t>관리번호</t>
    <phoneticPr fontId="1" type="noConversion"/>
  </si>
  <si>
    <t>현장명</t>
    <phoneticPr fontId="1" type="noConversion"/>
  </si>
  <si>
    <t>현장책임자</t>
    <phoneticPr fontId="1" type="noConversion"/>
  </si>
  <si>
    <t>연번</t>
    <phoneticPr fontId="1" type="noConversion"/>
  </si>
  <si>
    <t>오류</t>
    <phoneticPr fontId="1" type="noConversion"/>
  </si>
  <si>
    <t>주민등록번호</t>
    <phoneticPr fontId="1" type="noConversion"/>
  </si>
  <si>
    <t>직종</t>
    <phoneticPr fontId="1" type="noConversion"/>
  </si>
  <si>
    <t>팀명칭</t>
    <phoneticPr fontId="1" type="noConversion"/>
  </si>
  <si>
    <t>건강보험</t>
    <phoneticPr fontId="1" type="noConversion"/>
  </si>
  <si>
    <t>국민연금</t>
    <phoneticPr fontId="1" type="noConversion"/>
  </si>
  <si>
    <t>장기요양</t>
    <phoneticPr fontId="1" type="noConversion"/>
  </si>
  <si>
    <t>공제합계</t>
    <phoneticPr fontId="1" type="noConversion"/>
  </si>
  <si>
    <t>차감지급액</t>
    <phoneticPr fontId="1" type="noConversion"/>
  </si>
  <si>
    <t>E-mail</t>
    <phoneticPr fontId="1" type="noConversion"/>
  </si>
  <si>
    <t>예금주</t>
    <phoneticPr fontId="1" type="noConversion"/>
  </si>
  <si>
    <t>계좌번호</t>
    <phoneticPr fontId="1" type="noConversion"/>
  </si>
  <si>
    <t>은행명</t>
    <phoneticPr fontId="1" type="noConversion"/>
  </si>
  <si>
    <t>휴대전화</t>
    <phoneticPr fontId="1" type="noConversion"/>
  </si>
  <si>
    <t>만나이</t>
    <phoneticPr fontId="1" type="noConversion"/>
  </si>
  <si>
    <t>갑근세합계</t>
    <phoneticPr fontId="1" type="noConversion"/>
  </si>
  <si>
    <t>고용보험</t>
    <phoneticPr fontId="1" type="noConversion"/>
  </si>
  <si>
    <t>건강보험</t>
    <phoneticPr fontId="1" type="noConversion"/>
  </si>
  <si>
    <t>장기요양</t>
    <phoneticPr fontId="1" type="noConversion"/>
  </si>
  <si>
    <t>연금보험</t>
    <phoneticPr fontId="1" type="noConversion"/>
  </si>
  <si>
    <t>연금상한</t>
    <phoneticPr fontId="1" type="noConversion"/>
  </si>
  <si>
    <t>적용일수</t>
    <phoneticPr fontId="1" type="noConversion"/>
  </si>
  <si>
    <t>연금고시금액</t>
    <phoneticPr fontId="1" type="noConversion"/>
  </si>
  <si>
    <t>연금상한공제액</t>
    <phoneticPr fontId="1" type="noConversion"/>
  </si>
  <si>
    <t>이 노임대장은 단순 월력으로 건강 및 연금</t>
    <phoneticPr fontId="1" type="noConversion"/>
  </si>
  <si>
    <t>공제금액이 산정됩니다.</t>
    <phoneticPr fontId="1" type="noConversion"/>
  </si>
  <si>
    <t>건강 및 연금 가입 지침에 따라, 명확한 공제</t>
    <phoneticPr fontId="1" type="noConversion"/>
  </si>
  <si>
    <t>공제금액을 확인하셔야 합니다!</t>
    <phoneticPr fontId="1" type="noConversion"/>
  </si>
  <si>
    <t>총
공수</t>
    <phoneticPr fontId="1" type="noConversion"/>
  </si>
  <si>
    <t>총
일수</t>
    <phoneticPr fontId="1" type="noConversion"/>
  </si>
  <si>
    <t>노무비지급대장</t>
    <phoneticPr fontId="1" type="noConversion"/>
  </si>
  <si>
    <t>년</t>
    <phoneticPr fontId="1" type="noConversion"/>
  </si>
  <si>
    <t>월</t>
    <phoneticPr fontId="1" type="noConversion"/>
  </si>
  <si>
    <t>기
간</t>
    <phoneticPr fontId="1" type="noConversion"/>
  </si>
  <si>
    <t>지방소득</t>
    <phoneticPr fontId="1" type="noConversion"/>
  </si>
  <si>
    <t>소득세</t>
    <phoneticPr fontId="1" type="noConversion"/>
  </si>
  <si>
    <t>총 인원수 :</t>
    <phoneticPr fontId="1" type="noConversion"/>
  </si>
  <si>
    <t>※ 프로그램 등록 후에 총 인원수, 총 공수, 총 일수, 노무비 총액 일치 꼭 확인해 주시기 바랍니다.</t>
    <phoneticPr fontId="1" type="noConversion"/>
  </si>
  <si>
    <t>금액을 확인하시려면 꼭 프로그램에 등록 후</t>
    <phoneticPr fontId="1" type="noConversion"/>
  </si>
  <si>
    <t>※ 프로그램 등록 용 노임대장입니다. 실제 보험료 부과내역은 프로그램에서 확인하시기 바랍니다.
※ 셀 삽입 시, 수식이 적용되지 않을 수 있으므로 수식 적용 여부 꼭 확인해 주시기 바랍니다.</t>
    <phoneticPr fontId="1" type="noConversion"/>
  </si>
  <si>
    <t>보수총액</t>
    <phoneticPr fontId="1" type="noConversion"/>
  </si>
  <si>
    <t>주             소</t>
    <phoneticPr fontId="1" type="noConversion"/>
  </si>
  <si>
    <t>Made by 국제온누리노무법인 신윤석 팀장</t>
    <phoneticPr fontId="1" type="noConversion"/>
  </si>
  <si>
    <t>성   명</t>
    <phoneticPr fontId="1" type="noConversion"/>
  </si>
  <si>
    <t>※ 변경 사항이 있을 경우, 수정하여 주시면 변경 적용됩니다!</t>
    <phoneticPr fontId="1" type="noConversion"/>
  </si>
  <si>
    <t>영문성명</t>
    <phoneticPr fontId="1" type="noConversion"/>
  </si>
  <si>
    <t>체류자격</t>
    <phoneticPr fontId="1" type="noConversion"/>
  </si>
  <si>
    <t>회사명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</si>
</sst>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d"/>
    <numFmt numFmtId="178" formatCode="######\-#######"/>
  </numFmts>
  <fonts count="1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name val="Calibri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Up="1" diagonalDown="1">
      <left style="thin">
        <color auto="1"/>
      </left>
      <right/>
      <top style="medium">
        <color auto="1"/>
      </top>
      <bottom/>
      <diagonal style="thin">
        <color auto="1"/>
      </diagonal>
    </border>
    <border diagonalUp="1" diagonalDown="1">
      <left/>
      <right style="medium">
        <color auto="1"/>
      </right>
      <top style="medium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 style="medium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 style="medium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167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41" fontId="4" fillId="0" borderId="1" xfId="1" applyFont="1" applyBorder="1" applyAlignment="1">
      <alignment vertical="center"/>
    </xf>
    <xf numFmtId="41" fontId="4" fillId="0" borderId="2" xfId="1" applyFont="1" applyBorder="1" applyAlignment="1">
      <alignment vertical="center"/>
    </xf>
    <xf numFmtId="41" fontId="4" fillId="0" borderId="6" xfId="1" applyFont="1" applyBorder="1" applyAlignment="1">
      <alignment vertical="center"/>
    </xf>
    <xf numFmtId="41" fontId="4" fillId="0" borderId="8" xfId="1" applyFont="1" applyBorder="1" applyAlignment="1">
      <alignment vertical="center"/>
    </xf>
    <xf numFmtId="41" fontId="4" fillId="0" borderId="3" xfId="1" applyFont="1" applyBorder="1" applyAlignment="1">
      <alignment vertical="center"/>
    </xf>
    <xf numFmtId="41" fontId="4" fillId="0" borderId="4" xfId="1" applyFont="1" applyBorder="1" applyAlignment="1">
      <alignment vertical="center"/>
    </xf>
    <xf numFmtId="41" fontId="4" fillId="0" borderId="7" xfId="1" applyFont="1" applyBorder="1" applyAlignment="1">
      <alignment vertical="center"/>
    </xf>
    <xf numFmtId="41" fontId="7" fillId="0" borderId="1" xfId="1" applyFont="1" applyBorder="1" applyAlignment="1">
      <alignment vertical="center"/>
    </xf>
    <xf numFmtId="41" fontId="7" fillId="0" borderId="2" xfId="1" applyFont="1" applyBorder="1" applyAlignment="1">
      <alignment vertical="center"/>
    </xf>
    <xf numFmtId="41" fontId="7" fillId="0" borderId="18" xfId="1" applyFont="1" applyBorder="1" applyAlignment="1">
      <alignment vertical="center"/>
    </xf>
    <xf numFmtId="41" fontId="7" fillId="0" borderId="3" xfId="1" applyFont="1" applyBorder="1" applyAlignment="1">
      <alignment vertical="center"/>
    </xf>
    <xf numFmtId="41" fontId="7" fillId="0" borderId="4" xfId="1" applyFont="1" applyBorder="1" applyAlignment="1">
      <alignment vertical="center"/>
    </xf>
    <xf numFmtId="41" fontId="7" fillId="0" borderId="19" xfId="1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41" fontId="4" fillId="0" borderId="33" xfId="1" applyFont="1" applyFill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177" fontId="4" fillId="2" borderId="6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7" fontId="4" fillId="2" borderId="3" xfId="0" applyNumberFormat="1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177" fontId="4" fillId="2" borderId="4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176" fontId="12" fillId="0" borderId="2" xfId="0" applyNumberFormat="1" applyFont="1" applyBorder="1" applyAlignment="1" applyProtection="1">
      <alignment horizontal="center" vertical="center" shrinkToFit="1"/>
      <protection locked="0"/>
    </xf>
    <xf numFmtId="176" fontId="12" fillId="0" borderId="6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6" borderId="3" xfId="0" applyNumberFormat="1" applyFont="1" applyFill="1" applyBorder="1" applyAlignment="1" applyProtection="1">
      <alignment horizontal="center" vertical="center" shrinkToFit="1"/>
      <protection locked="0"/>
    </xf>
    <xf numFmtId="176" fontId="12" fillId="6" borderId="4" xfId="0" applyNumberFormat="1" applyFont="1" applyFill="1" applyBorder="1" applyAlignment="1" applyProtection="1">
      <alignment horizontal="center" vertical="center" shrinkToFit="1"/>
      <protection locked="0"/>
    </xf>
    <xf numFmtId="176" fontId="12" fillId="6" borderId="29" xfId="0" applyNumberFormat="1" applyFont="1" applyFill="1" applyBorder="1" applyAlignment="1" applyProtection="1">
      <alignment horizontal="center" vertical="center" shrinkToFit="1"/>
      <protection locked="0"/>
    </xf>
    <xf numFmtId="176" fontId="12" fillId="6" borderId="37" xfId="0" applyNumberFormat="1" applyFont="1" applyFill="1" applyBorder="1" applyAlignment="1" applyProtection="1">
      <alignment horizontal="center" vertical="center" shrinkToFit="1"/>
      <protection locked="0"/>
    </xf>
    <xf numFmtId="176" fontId="12" fillId="6" borderId="38" xfId="0" applyNumberFormat="1" applyFont="1" applyFill="1" applyBorder="1" applyAlignment="1" applyProtection="1">
      <alignment horizontal="center" vertical="center" shrinkToFit="1"/>
      <protection locked="0"/>
    </xf>
    <xf numFmtId="176" fontId="12" fillId="6" borderId="36" xfId="0" applyNumberFormat="1" applyFont="1" applyFill="1" applyBorder="1" applyAlignment="1" applyProtection="1">
      <alignment horizontal="center" vertical="center" shrinkToFit="1"/>
      <protection locked="0"/>
    </xf>
    <xf numFmtId="176" fontId="13" fillId="0" borderId="11" xfId="0" applyNumberFormat="1" applyFont="1" applyBorder="1" applyAlignment="1">
      <alignment horizontal="center" vertical="center"/>
    </xf>
    <xf numFmtId="176" fontId="13" fillId="0" borderId="12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4" fillId="0" borderId="2" xfId="1" applyFont="1" applyBorder="1" applyAlignment="1">
      <alignment horizontal="center" vertical="center"/>
    </xf>
    <xf numFmtId="41" fontId="4" fillId="0" borderId="18" xfId="1" applyFont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41" fontId="4" fillId="0" borderId="19" xfId="1" applyFont="1" applyBorder="1" applyAlignment="1">
      <alignment horizontal="center" vertical="center"/>
    </xf>
    <xf numFmtId="41" fontId="4" fillId="0" borderId="37" xfId="1" applyFont="1" applyBorder="1" applyAlignment="1">
      <alignment horizontal="center" vertical="center"/>
    </xf>
    <xf numFmtId="41" fontId="4" fillId="0" borderId="38" xfId="1" applyFont="1" applyBorder="1" applyAlignment="1">
      <alignment horizontal="center" vertical="center"/>
    </xf>
    <xf numFmtId="41" fontId="4" fillId="0" borderId="39" xfId="1" applyFont="1" applyBorder="1" applyAlignment="1">
      <alignment horizontal="center" vertical="center"/>
    </xf>
    <xf numFmtId="0" fontId="0" fillId="0" borderId="0" xfId="0" applyAlignment="1">
      <alignment shrinkToFit="1"/>
    </xf>
    <xf numFmtId="41" fontId="11" fillId="0" borderId="10" xfId="1" applyFont="1" applyBorder="1" applyAlignment="1">
      <alignment vertical="center" shrinkToFit="1"/>
    </xf>
    <xf numFmtId="0" fontId="10" fillId="5" borderId="22" xfId="0" applyFont="1" applyFill="1" applyBorder="1" applyAlignment="1">
      <alignment vertical="center"/>
    </xf>
    <xf numFmtId="0" fontId="10" fillId="5" borderId="0" xfId="0" applyFont="1" applyFill="1" applyAlignment="1">
      <alignment vertical="center"/>
    </xf>
    <xf numFmtId="0" fontId="10" fillId="5" borderId="9" xfId="0" applyFont="1" applyFill="1" applyBorder="1" applyAlignment="1">
      <alignment vertical="center"/>
    </xf>
    <xf numFmtId="176" fontId="12" fillId="0" borderId="11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 applyProtection="1">
      <alignment horizontal="center" vertical="center" shrinkToFit="1"/>
      <protection locked="0"/>
    </xf>
    <xf numFmtId="176" fontId="12" fillId="0" borderId="13" xfId="0" applyNumberFormat="1" applyFont="1" applyBorder="1" applyAlignment="1">
      <alignment horizontal="center" vertical="center"/>
    </xf>
    <xf numFmtId="176" fontId="12" fillId="0" borderId="52" xfId="0" applyNumberFormat="1" applyFont="1" applyBorder="1" applyAlignment="1">
      <alignment horizontal="center" vertical="center"/>
    </xf>
    <xf numFmtId="41" fontId="4" fillId="0" borderId="11" xfId="1" applyFont="1" applyBorder="1" applyAlignment="1">
      <alignment horizontal="center" vertical="center"/>
    </xf>
    <xf numFmtId="41" fontId="4" fillId="0" borderId="12" xfId="1" applyFont="1" applyBorder="1" applyAlignment="1">
      <alignment horizontal="center" vertical="center"/>
    </xf>
    <xf numFmtId="41" fontId="4" fillId="0" borderId="53" xfId="1" applyFont="1" applyBorder="1" applyAlignment="1">
      <alignment horizontal="center" vertical="center"/>
    </xf>
    <xf numFmtId="0" fontId="11" fillId="0" borderId="54" xfId="0" applyFont="1" applyBorder="1" applyAlignment="1">
      <alignment vertical="center"/>
    </xf>
    <xf numFmtId="41" fontId="11" fillId="0" borderId="28" xfId="1" applyFont="1" applyBorder="1" applyAlignment="1">
      <alignment vertical="center" shrinkToFit="1"/>
    </xf>
    <xf numFmtId="0" fontId="5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21" xfId="0" applyNumberFormat="1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14" fontId="8" fillId="0" borderId="16" xfId="0" applyNumberFormat="1" applyFont="1" applyBorder="1" applyAlignment="1">
      <alignment horizontal="center" vertical="center"/>
    </xf>
    <xf numFmtId="14" fontId="8" fillId="0" borderId="3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 shrinkToFit="1"/>
    </xf>
    <xf numFmtId="0" fontId="11" fillId="5" borderId="0" xfId="0" applyFont="1" applyFill="1" applyAlignment="1">
      <alignment horizontal="center" vertical="center" shrinkToFit="1"/>
    </xf>
    <xf numFmtId="0" fontId="11" fillId="5" borderId="26" xfId="0" applyFont="1" applyFill="1" applyBorder="1" applyAlignment="1">
      <alignment horizontal="center" vertical="center" shrinkToFit="1"/>
    </xf>
    <xf numFmtId="0" fontId="11" fillId="5" borderId="9" xfId="0" applyFont="1" applyFill="1" applyBorder="1" applyAlignment="1">
      <alignment horizontal="center" vertical="center" shrinkToFit="1"/>
    </xf>
    <xf numFmtId="0" fontId="14" fillId="5" borderId="16" xfId="0" applyFont="1" applyFill="1" applyBorder="1" applyAlignment="1">
      <alignment horizontal="left" vertical="center" wrapText="1" indent="1"/>
    </xf>
    <xf numFmtId="0" fontId="14" fillId="5" borderId="16" xfId="0" applyFont="1" applyFill="1" applyBorder="1" applyAlignment="1">
      <alignment horizontal="left" vertical="center" indent="1"/>
    </xf>
    <xf numFmtId="0" fontId="14" fillId="5" borderId="17" xfId="0" applyFont="1" applyFill="1" applyBorder="1" applyAlignment="1">
      <alignment horizontal="left" vertical="center" indent="1"/>
    </xf>
    <xf numFmtId="0" fontId="8" fillId="0" borderId="24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 wrapText="1"/>
    </xf>
    <xf numFmtId="41" fontId="4" fillId="0" borderId="10" xfId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176" fontId="7" fillId="5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41" fontId="7" fillId="5" borderId="10" xfId="1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78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shrinkToFit="1"/>
    </xf>
    <xf numFmtId="176" fontId="4" fillId="0" borderId="10" xfId="0" applyNumberFormat="1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shrinkToFit="1"/>
    </xf>
    <xf numFmtId="0" fontId="8" fillId="2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78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shrinkToFit="1"/>
    </xf>
    <xf numFmtId="41" fontId="4" fillId="0" borderId="35" xfId="1" applyFont="1" applyBorder="1" applyAlignment="1">
      <alignment horizontal="center" vertical="center"/>
    </xf>
    <xf numFmtId="176" fontId="4" fillId="0" borderId="35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178" fontId="4" fillId="0" borderId="17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shrinkToFit="1"/>
    </xf>
    <xf numFmtId="41" fontId="4" fillId="0" borderId="17" xfId="1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b/>
        <i val="0"/>
        <color rgb="FFFF0000"/>
      </font>
    </dxf>
  </dxfs>
  <tableStyles count="0" defaultTableStyle="TableStyleMedium2" defaultPivotStyle="PivotStyleMedium9"/>
  <colors>
    <mruColors>
      <color rgb="FFCCECFF"/>
      <color rgb="FFFFFFCC"/>
      <color rgb="FFFFCCCC"/>
      <color rgb="FFFFCCFF"/>
      <color rgb="FFCCFFCC"/>
      <color rgb="FFCCFF99"/>
      <color rgb="FFFCE4D6"/>
      <color rgb="FF99CCFF"/>
      <color rgb="FFE2EFDA"/>
      <color rgb="FFABCE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I$1" max="3000" min="2000" page="10" val="2026"/>
</file>

<file path=xl/ctrlProps/ctrlProp2.xml><?xml version="1.0" encoding="utf-8"?>
<formControlPr xmlns="http://schemas.microsoft.com/office/spreadsheetml/2009/9/main" objectType="Spin" dx="22" fmlaLink="$O$1" max="12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171450</xdr:colOff>
          <xdr:row>0</xdr:row>
          <xdr:rowOff>28575</xdr:rowOff>
        </xdr:from>
        <xdr:to>
          <xdr:col>12</xdr:col>
          <xdr:colOff>114300</xdr:colOff>
          <xdr:row>1</xdr:row>
          <xdr:rowOff>180975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171450</xdr:colOff>
          <xdr:row>0</xdr:row>
          <xdr:rowOff>28575</xdr:rowOff>
        </xdr:from>
        <xdr:to>
          <xdr:col>16</xdr:col>
          <xdr:colOff>114300</xdr:colOff>
          <xdr:row>1</xdr:row>
          <xdr:rowOff>180975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08"/>
  <sheetViews>
    <sheetView tabSelected="1" view="pageBreakPreview" zoomScale="85" zoomScaleNormal="100" zoomScaleSheetLayoutView="85" workbookViewId="0">
      <pane ySplit="7" topLeftCell="A8" activePane="bottomLeft" state="frozen"/>
      <selection pane="bottomLeft" activeCell="I1" sqref="I1:L2"/>
    </sheetView>
  </sheetViews>
  <sheetFormatPr defaultRowHeight="16.5" x14ac:dyDescent="0.3"/>
  <cols>
    <col min="1" max="1" width="4.75" bestFit="1" customWidth="1"/>
    <col min="2" max="2" width="4.75" hidden="1" customWidth="1"/>
    <col min="3" max="3" width="7.625" customWidth="1"/>
    <col min="4" max="4" width="15.625" customWidth="1"/>
    <col min="5" max="5" width="5.625" customWidth="1"/>
    <col min="6" max="6" width="8.625" hidden="1" customWidth="1"/>
    <col min="7" max="7" width="20.625" style="71" customWidth="1"/>
    <col min="8" max="8" width="8.125" customWidth="1"/>
    <col min="9" max="24" width="2.625" customWidth="1"/>
    <col min="25" max="26" width="4.75" customWidth="1"/>
    <col min="27" max="32" width="10.625" customWidth="1"/>
    <col min="33" max="33" width="12.625" customWidth="1"/>
    <col min="34" max="34" width="10.625" customWidth="1"/>
    <col min="35" max="35" width="15.625" customWidth="1"/>
    <col min="36" max="36" width="8.625" customWidth="1"/>
    <col min="37" max="37" width="33.25" hidden="1" customWidth="1"/>
    <col min="38" max="38" width="28" hidden="1" customWidth="1"/>
    <col min="39" max="39" width="9.625" hidden="1" customWidth="1"/>
    <col min="40" max="57" width="9" hidden="1" customWidth="1"/>
    <col min="59" max="59" width="9.375" bestFit="1" customWidth="1"/>
  </cols>
  <sheetData>
    <row r="1" spans="1:58" ht="16.5" customHeight="1" x14ac:dyDescent="0.3">
      <c r="A1" s="164" t="s">
        <v>53</v>
      </c>
      <c r="B1" s="165"/>
      <c r="C1" s="165"/>
      <c r="D1" s="166"/>
      <c r="E1" s="90"/>
      <c r="F1" s="90"/>
      <c r="G1" s="90"/>
      <c r="H1" s="8"/>
      <c r="I1" s="106">
        <v>2026</v>
      </c>
      <c r="J1" s="106"/>
      <c r="K1" s="106"/>
      <c r="L1" s="106"/>
      <c r="M1" s="106" t="s">
        <v>37</v>
      </c>
      <c r="N1" s="106"/>
      <c r="O1" s="106">
        <v>1</v>
      </c>
      <c r="P1" s="106"/>
      <c r="Q1" s="106" t="s">
        <v>38</v>
      </c>
      <c r="R1" s="106"/>
      <c r="S1" s="106" t="s">
        <v>36</v>
      </c>
      <c r="T1" s="106"/>
      <c r="U1" s="106"/>
      <c r="V1" s="106"/>
      <c r="W1" s="106"/>
      <c r="X1" s="106"/>
      <c r="Y1" s="106"/>
      <c r="Z1" s="106"/>
      <c r="AA1" s="8"/>
      <c r="AB1" s="8"/>
      <c r="AC1" s="8"/>
      <c r="AD1" s="96" t="s">
        <v>39</v>
      </c>
      <c r="AE1" s="92">
        <f>DATE($I$1,$O$1,1)</f>
        <v>46023</v>
      </c>
      <c r="AF1" s="93"/>
      <c r="AG1" s="26" t="s">
        <v>22</v>
      </c>
      <c r="AH1" s="24">
        <v>0.9</v>
      </c>
      <c r="AI1" s="26" t="s">
        <v>27</v>
      </c>
      <c r="AJ1" s="84">
        <v>8</v>
      </c>
      <c r="AK1" s="73" t="s">
        <v>30</v>
      </c>
      <c r="AL1" s="134"/>
      <c r="AM1" s="135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8" ht="16.5" customHeight="1" x14ac:dyDescent="0.3">
      <c r="A2" s="105" t="s">
        <v>3</v>
      </c>
      <c r="B2" s="91"/>
      <c r="C2" s="91"/>
      <c r="D2" s="91"/>
      <c r="E2" s="91"/>
      <c r="F2" s="91"/>
      <c r="G2" s="91"/>
      <c r="H2" s="1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40"/>
      <c r="T2" s="140"/>
      <c r="U2" s="140"/>
      <c r="V2" s="140"/>
      <c r="W2" s="140"/>
      <c r="X2" s="140"/>
      <c r="Y2" s="140"/>
      <c r="Z2" s="140"/>
      <c r="AA2" s="1"/>
      <c r="AB2" s="108"/>
      <c r="AC2" s="109"/>
      <c r="AD2" s="97"/>
      <c r="AE2" s="94">
        <f>DATE($I$1,$O$1+1,0)</f>
        <v>46053</v>
      </c>
      <c r="AF2" s="95"/>
      <c r="AG2" s="27" t="s">
        <v>23</v>
      </c>
      <c r="AH2" s="25">
        <v>3.5449999999999999</v>
      </c>
      <c r="AI2" s="110" t="s">
        <v>50</v>
      </c>
      <c r="AJ2" s="111"/>
      <c r="AK2" s="74" t="s">
        <v>31</v>
      </c>
      <c r="AL2" s="136"/>
      <c r="AM2" s="137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8" x14ac:dyDescent="0.3">
      <c r="A3" s="105" t="s">
        <v>4</v>
      </c>
      <c r="B3" s="91"/>
      <c r="C3" s="91"/>
      <c r="D3" s="91"/>
      <c r="E3" s="91"/>
      <c r="F3" s="91"/>
      <c r="G3" s="91"/>
      <c r="H3" s="29" t="s">
        <v>2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24" t="s">
        <v>43</v>
      </c>
      <c r="Z3" s="125"/>
      <c r="AA3" s="125"/>
      <c r="AB3" s="125"/>
      <c r="AC3" s="125"/>
      <c r="AD3" s="125"/>
      <c r="AE3" s="125"/>
      <c r="AF3" s="126"/>
      <c r="AG3" s="27" t="s">
        <v>24</v>
      </c>
      <c r="AH3" s="25">
        <v>0.91820000000000002</v>
      </c>
      <c r="AI3" s="110"/>
      <c r="AJ3" s="111"/>
      <c r="AK3" s="74" t="s">
        <v>32</v>
      </c>
      <c r="AL3" s="136"/>
      <c r="AM3" s="137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8" x14ac:dyDescent="0.3">
      <c r="A4" s="98" t="s">
        <v>42</v>
      </c>
      <c r="B4" s="99"/>
      <c r="C4" s="88">
        <f>COUNTA(C8:C1005)</f>
        <v>0</v>
      </c>
      <c r="D4" s="102" t="s">
        <v>45</v>
      </c>
      <c r="E4" s="103"/>
      <c r="F4" s="103"/>
      <c r="G4" s="103"/>
      <c r="H4" s="86" t="s">
        <v>1</v>
      </c>
      <c r="I4" s="49">
        <f t="shared" ref="I4:W4" si="0">SUMPRODUCT((MOD(ROW(I$8:I$1005),2)=0)*I$8:I$1005)</f>
        <v>0</v>
      </c>
      <c r="J4" s="50">
        <f t="shared" si="0"/>
        <v>0</v>
      </c>
      <c r="K4" s="50">
        <f t="shared" si="0"/>
        <v>0</v>
      </c>
      <c r="L4" s="50">
        <f t="shared" si="0"/>
        <v>0</v>
      </c>
      <c r="M4" s="50">
        <f t="shared" si="0"/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1">
        <f t="shared" si="0"/>
        <v>0</v>
      </c>
      <c r="X4" s="52"/>
      <c r="Y4" s="127">
        <f>SUM(Y8:Y1005)</f>
        <v>0</v>
      </c>
      <c r="Z4" s="128">
        <f>SUM(Z8:Z1005)</f>
        <v>0</v>
      </c>
      <c r="AA4" s="129">
        <f>SUM(AA8:AA1005)</f>
        <v>0</v>
      </c>
      <c r="AB4" s="18">
        <f>SUMPRODUCT((MOD(ROW(AB$8:AB$1005),2)=0)*AB$8:AB$1005)</f>
        <v>0</v>
      </c>
      <c r="AC4" s="19">
        <f ca="1">SUMPRODUCT((MOD(ROW(AC$8:AC$1005),2)=0)*AC$8:AC$1005)</f>
        <v>0</v>
      </c>
      <c r="AD4" s="20">
        <f>SUMPRODUCT((MOD(ROW(AD$8:AD$1005),2)=0)*AD$8:AD$1005)</f>
        <v>0</v>
      </c>
      <c r="AE4" s="122">
        <f ca="1">SUM(AE8:AE1005)</f>
        <v>0</v>
      </c>
      <c r="AF4" s="122">
        <f ca="1">SUM(AF8:AF1005)</f>
        <v>0</v>
      </c>
      <c r="AG4" s="27" t="s">
        <v>25</v>
      </c>
      <c r="AH4" s="25">
        <v>4.5</v>
      </c>
      <c r="AI4" s="27" t="s">
        <v>28</v>
      </c>
      <c r="AJ4" s="85">
        <v>2200000</v>
      </c>
      <c r="AK4" s="74" t="s">
        <v>44</v>
      </c>
      <c r="AL4" s="136"/>
      <c r="AM4" s="137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8" x14ac:dyDescent="0.3">
      <c r="A5" s="100"/>
      <c r="B5" s="101"/>
      <c r="C5" s="89"/>
      <c r="D5" s="104"/>
      <c r="E5" s="104"/>
      <c r="F5" s="104"/>
      <c r="G5" s="104"/>
      <c r="H5" s="87"/>
      <c r="I5" s="53">
        <f t="shared" ref="I5:X5" si="1">SUMPRODUCT((MOD(ROW(I$8:I$1005),2)=1)*I$8:I$1005)</f>
        <v>0</v>
      </c>
      <c r="J5" s="54">
        <f t="shared" si="1"/>
        <v>0</v>
      </c>
      <c r="K5" s="54">
        <f t="shared" si="1"/>
        <v>0</v>
      </c>
      <c r="L5" s="54">
        <f t="shared" si="1"/>
        <v>0</v>
      </c>
      <c r="M5" s="54">
        <f t="shared" si="1"/>
        <v>0</v>
      </c>
      <c r="N5" s="54">
        <f t="shared" si="1"/>
        <v>0</v>
      </c>
      <c r="O5" s="54">
        <f t="shared" si="1"/>
        <v>0</v>
      </c>
      <c r="P5" s="54">
        <f t="shared" si="1"/>
        <v>0</v>
      </c>
      <c r="Q5" s="54">
        <f t="shared" si="1"/>
        <v>0</v>
      </c>
      <c r="R5" s="54">
        <f t="shared" si="1"/>
        <v>0</v>
      </c>
      <c r="S5" s="54">
        <f t="shared" si="1"/>
        <v>0</v>
      </c>
      <c r="T5" s="54">
        <f t="shared" si="1"/>
        <v>0</v>
      </c>
      <c r="U5" s="54">
        <f t="shared" si="1"/>
        <v>0</v>
      </c>
      <c r="V5" s="54">
        <f t="shared" si="1"/>
        <v>0</v>
      </c>
      <c r="W5" s="54">
        <f t="shared" si="1"/>
        <v>0</v>
      </c>
      <c r="X5" s="55">
        <f t="shared" si="1"/>
        <v>0</v>
      </c>
      <c r="Y5" s="127"/>
      <c r="Z5" s="128"/>
      <c r="AA5" s="129"/>
      <c r="AB5" s="21">
        <f>SUMPRODUCT((MOD(ROW(AB$8:AB$1005),2)=1)*AB$8:AB$1005)</f>
        <v>0</v>
      </c>
      <c r="AC5" s="22">
        <f ca="1">SUMPRODUCT((MOD(ROW(AC$8:AC$1005),2)=1)*AC$8:AC$1005)</f>
        <v>0</v>
      </c>
      <c r="AD5" s="23">
        <f>SUMPRODUCT((MOD(ROW(AD$8:AD$1005),2)=1)*AD$8:AD$1005)</f>
        <v>0</v>
      </c>
      <c r="AE5" s="122"/>
      <c r="AF5" s="122"/>
      <c r="AG5" s="27" t="s">
        <v>26</v>
      </c>
      <c r="AH5" s="72">
        <v>6170000</v>
      </c>
      <c r="AI5" s="27" t="s">
        <v>29</v>
      </c>
      <c r="AJ5" s="85">
        <f>AH5*AH4%</f>
        <v>277650</v>
      </c>
      <c r="AK5" s="75" t="s">
        <v>33</v>
      </c>
      <c r="AL5" s="138"/>
      <c r="AM5" s="139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8" x14ac:dyDescent="0.3">
      <c r="A6" s="105" t="s">
        <v>5</v>
      </c>
      <c r="B6" s="123" t="s">
        <v>6</v>
      </c>
      <c r="C6" s="147" t="s">
        <v>49</v>
      </c>
      <c r="D6" s="147" t="s">
        <v>7</v>
      </c>
      <c r="E6" s="120" t="s">
        <v>8</v>
      </c>
      <c r="F6" s="120" t="s">
        <v>9</v>
      </c>
      <c r="G6" s="146" t="s">
        <v>47</v>
      </c>
      <c r="H6" s="147" t="s">
        <v>0</v>
      </c>
      <c r="I6" s="30">
        <f>AE1</f>
        <v>46023</v>
      </c>
      <c r="J6" s="31">
        <f>I6+1</f>
        <v>46024</v>
      </c>
      <c r="K6" s="31">
        <f t="shared" ref="K6:W7" si="2">J6+1</f>
        <v>46025</v>
      </c>
      <c r="L6" s="31">
        <f t="shared" si="2"/>
        <v>46026</v>
      </c>
      <c r="M6" s="31">
        <f t="shared" si="2"/>
        <v>46027</v>
      </c>
      <c r="N6" s="31">
        <f t="shared" si="2"/>
        <v>46028</v>
      </c>
      <c r="O6" s="31">
        <f t="shared" si="2"/>
        <v>46029</v>
      </c>
      <c r="P6" s="31">
        <f t="shared" si="2"/>
        <v>46030</v>
      </c>
      <c r="Q6" s="31">
        <f t="shared" si="2"/>
        <v>46031</v>
      </c>
      <c r="R6" s="31">
        <f t="shared" si="2"/>
        <v>46032</v>
      </c>
      <c r="S6" s="31">
        <f t="shared" si="2"/>
        <v>46033</v>
      </c>
      <c r="T6" s="31">
        <f t="shared" si="2"/>
        <v>46034</v>
      </c>
      <c r="U6" s="31">
        <f t="shared" si="2"/>
        <v>46035</v>
      </c>
      <c r="V6" s="31">
        <f t="shared" si="2"/>
        <v>46036</v>
      </c>
      <c r="W6" s="32">
        <f t="shared" si="2"/>
        <v>46037</v>
      </c>
      <c r="X6" s="33"/>
      <c r="Y6" s="148" t="s">
        <v>34</v>
      </c>
      <c r="Z6" s="148" t="s">
        <v>35</v>
      </c>
      <c r="AA6" s="148" t="s">
        <v>46</v>
      </c>
      <c r="AB6" s="56" t="s">
        <v>41</v>
      </c>
      <c r="AC6" s="57" t="s">
        <v>22</v>
      </c>
      <c r="AD6" s="58" t="s">
        <v>10</v>
      </c>
      <c r="AE6" s="123" t="s">
        <v>13</v>
      </c>
      <c r="AF6" s="123" t="s">
        <v>14</v>
      </c>
      <c r="AG6" s="120" t="s">
        <v>19</v>
      </c>
      <c r="AH6" s="120" t="s">
        <v>18</v>
      </c>
      <c r="AI6" s="120" t="s">
        <v>17</v>
      </c>
      <c r="AJ6" s="121" t="s">
        <v>16</v>
      </c>
      <c r="AK6" s="117" t="s">
        <v>15</v>
      </c>
      <c r="AL6" s="130" t="s">
        <v>51</v>
      </c>
      <c r="AM6" s="132" t="s">
        <v>52</v>
      </c>
      <c r="AN6" s="118" t="s">
        <v>20</v>
      </c>
      <c r="AO6" s="119" t="s">
        <v>21</v>
      </c>
      <c r="AP6" s="2">
        <v>1</v>
      </c>
      <c r="AQ6" s="3">
        <v>2</v>
      </c>
      <c r="AR6" s="3">
        <v>3</v>
      </c>
      <c r="AS6" s="3">
        <v>4</v>
      </c>
      <c r="AT6" s="3">
        <v>5</v>
      </c>
      <c r="AU6" s="3">
        <v>6</v>
      </c>
      <c r="AV6" s="3">
        <v>7</v>
      </c>
      <c r="AW6" s="3">
        <v>8</v>
      </c>
      <c r="AX6" s="3">
        <v>9</v>
      </c>
      <c r="AY6" s="3">
        <v>10</v>
      </c>
      <c r="AZ6" s="3">
        <v>11</v>
      </c>
      <c r="BA6" s="3">
        <v>12</v>
      </c>
      <c r="BB6" s="3">
        <v>13</v>
      </c>
      <c r="BC6" s="3">
        <v>14</v>
      </c>
      <c r="BD6" s="7">
        <v>15</v>
      </c>
      <c r="BE6" s="4"/>
    </row>
    <row r="7" spans="1:58" x14ac:dyDescent="0.3">
      <c r="A7" s="105"/>
      <c r="B7" s="123"/>
      <c r="C7" s="147"/>
      <c r="D7" s="147"/>
      <c r="E7" s="120"/>
      <c r="F7" s="120"/>
      <c r="G7" s="146"/>
      <c r="H7" s="147"/>
      <c r="I7" s="34">
        <f>W6+1</f>
        <v>46038</v>
      </c>
      <c r="J7" s="35">
        <f>I7+1</f>
        <v>46039</v>
      </c>
      <c r="K7" s="35">
        <f t="shared" si="2"/>
        <v>46040</v>
      </c>
      <c r="L7" s="35">
        <f t="shared" si="2"/>
        <v>46041</v>
      </c>
      <c r="M7" s="35">
        <f t="shared" si="2"/>
        <v>46042</v>
      </c>
      <c r="N7" s="35">
        <f t="shared" si="2"/>
        <v>46043</v>
      </c>
      <c r="O7" s="35">
        <f t="shared" si="2"/>
        <v>46044</v>
      </c>
      <c r="P7" s="35">
        <f t="shared" si="2"/>
        <v>46045</v>
      </c>
      <c r="Q7" s="35">
        <f t="shared" si="2"/>
        <v>46046</v>
      </c>
      <c r="R7" s="35">
        <f t="shared" si="2"/>
        <v>46047</v>
      </c>
      <c r="S7" s="35">
        <f t="shared" si="2"/>
        <v>46048</v>
      </c>
      <c r="T7" s="35">
        <f t="shared" si="2"/>
        <v>46049</v>
      </c>
      <c r="U7" s="35">
        <f t="shared" si="2"/>
        <v>46050</v>
      </c>
      <c r="V7" s="35">
        <f>IFERROR(IF(DAY(DATE($I$1,$O$1+1,0))&lt;COLUMNS($I$7:V$7)+15,"",U7+1),"")</f>
        <v>46051</v>
      </c>
      <c r="W7" s="35">
        <f>IFERROR(IF(DAY(DATE($I$1,$O$1+1,0))&lt;COLUMNS($I$7:W$7)+15,"",V7+1),"")</f>
        <v>46052</v>
      </c>
      <c r="X7" s="36">
        <f>IFERROR(IF(DAY(DATE($I$1,$O$1+1,0))&lt;COLUMNS($I$7:X$7)+15,"",W7+1),"")</f>
        <v>46053</v>
      </c>
      <c r="Y7" s="123"/>
      <c r="Z7" s="123"/>
      <c r="AA7" s="123"/>
      <c r="AB7" s="59" t="s">
        <v>40</v>
      </c>
      <c r="AC7" s="60" t="s">
        <v>11</v>
      </c>
      <c r="AD7" s="61" t="s">
        <v>12</v>
      </c>
      <c r="AE7" s="123"/>
      <c r="AF7" s="123"/>
      <c r="AG7" s="120"/>
      <c r="AH7" s="120"/>
      <c r="AI7" s="120"/>
      <c r="AJ7" s="121"/>
      <c r="AK7" s="117"/>
      <c r="AL7" s="131"/>
      <c r="AM7" s="133"/>
      <c r="AN7" s="118"/>
      <c r="AO7" s="119"/>
      <c r="AP7" s="5">
        <v>16</v>
      </c>
      <c r="AQ7" s="6">
        <v>17</v>
      </c>
      <c r="AR7" s="6">
        <v>18</v>
      </c>
      <c r="AS7" s="6">
        <v>19</v>
      </c>
      <c r="AT7" s="6">
        <v>20</v>
      </c>
      <c r="AU7" s="6">
        <v>21</v>
      </c>
      <c r="AV7" s="6">
        <v>22</v>
      </c>
      <c r="AW7" s="6">
        <v>23</v>
      </c>
      <c r="AX7" s="6">
        <v>24</v>
      </c>
      <c r="AY7" s="6">
        <v>25</v>
      </c>
      <c r="AZ7" s="6">
        <v>26</v>
      </c>
      <c r="BA7" s="6">
        <v>27</v>
      </c>
      <c r="BB7" s="6">
        <v>28</v>
      </c>
      <c r="BC7" s="6">
        <v>29</v>
      </c>
      <c r="BD7" s="9">
        <v>30</v>
      </c>
      <c r="BE7" s="10">
        <v>31</v>
      </c>
    </row>
    <row r="8" spans="1:58" x14ac:dyDescent="0.3">
      <c r="A8" s="142">
        <v>1</v>
      </c>
      <c r="B8" s="116" t="str">
        <f>IF(LEN(D8)&gt;1,IF(VALUE(MID(RIGHT(D8,7),1,1))&gt;4,"외국인",IF(VALUE(RIGHT(11-MOD((MID(D8,1,1)*2+MID(D8,2,1)*3+MID(D8,3,1)*4+MID(D8,4,1)*5+MID(D8,5,1)*6+MID(D8,6,1)*7+MID(RIGHT(D8,7),1,1)*8+MID(RIGHT(D8,7),2,1)*9+MID(RIGHT(D8,7),3,1)*2+MID(RIGHT(D8,7),4,1)*3+MID(RIGHT(D8,7),5,1)*4+MID(RIGHT(D8,7),6,1)*5),11),1))=VALUE(RIGHT(D8,1)),"","오류")),"")</f>
        <v/>
      </c>
      <c r="C8" s="116"/>
      <c r="D8" s="143"/>
      <c r="E8" s="116"/>
      <c r="F8" s="116"/>
      <c r="G8" s="144"/>
      <c r="H8" s="112"/>
      <c r="I8" s="38"/>
      <c r="J8" s="39"/>
      <c r="K8" s="39"/>
      <c r="L8" s="39"/>
      <c r="M8" s="39"/>
      <c r="N8" s="39"/>
      <c r="O8" s="39"/>
      <c r="P8" s="39"/>
      <c r="Q8" s="39"/>
      <c r="R8" s="39"/>
      <c r="S8" s="40"/>
      <c r="T8" s="40"/>
      <c r="U8" s="39"/>
      <c r="V8" s="39"/>
      <c r="W8" s="41"/>
      <c r="X8" s="42"/>
      <c r="Y8" s="145">
        <f>SUM(I8:X9)</f>
        <v>0</v>
      </c>
      <c r="Z8" s="116">
        <f>COUNTIF(I8:X9,"&gt;0")</f>
        <v>0</v>
      </c>
      <c r="AA8" s="112">
        <f>H8*Y8</f>
        <v>0</v>
      </c>
      <c r="AB8" s="62">
        <f>IF(AO8&lt;1000, 0, AO8)</f>
        <v>0</v>
      </c>
      <c r="AC8" s="63">
        <f ca="1">IF(IFERROR($AN8&lt;65,FALSE), IF(B8&lt;&gt;"외국인", ROUNDDOWN(AA8*$AH$1%,-1), IF(AND(AM8&lt;&gt;"", ISNUMBER(SEARCH(LEFT(SUBSTITUTE(AM8, "-",""),2), "F2_F5_F6"))), ROUNDDOWN(AA8*$AH$1%,-1), 0)),0)</f>
        <v>0</v>
      </c>
      <c r="AD8" s="64">
        <f>IF(Z8&gt;=$AJ$1,ROUNDDOWN(AA8*$AH$2%,-1),0)</f>
        <v>0</v>
      </c>
      <c r="AE8" s="112">
        <f ca="1">AB8+AC8+AB9+AC9+AD8+AD9</f>
        <v>0</v>
      </c>
      <c r="AF8" s="112">
        <f ca="1">AA8-AE8</f>
        <v>0</v>
      </c>
      <c r="AG8" s="116"/>
      <c r="AH8" s="116"/>
      <c r="AI8" s="116"/>
      <c r="AJ8" s="115"/>
      <c r="AK8" s="114"/>
      <c r="AL8" s="149"/>
      <c r="AM8" s="115"/>
      <c r="AN8" s="113" t="str">
        <f ca="1">IFERROR(DATEDIF(DATE(IF(ISNUMBER(FIND(MID( SUBSTITUTE(D8, "-",""), 7, 1), "3478")), 2000, 1900)+MID(D8,1,2), MID(D8,3,2), MID(D8,5,2)), TODAY(), "Y"),"")</f>
        <v/>
      </c>
      <c r="AO8" s="112">
        <f>ROUNDDOWN(SUM(AP8:BE9),-1)</f>
        <v>0</v>
      </c>
      <c r="AP8" s="11">
        <f t="shared" ref="AP8:BD8" si="3">IF($H8*I8&gt;150000,ROUNDDOWN(($H8*I8-150000)*6%*45%,0),0)</f>
        <v>0</v>
      </c>
      <c r="AQ8" s="12">
        <f t="shared" si="3"/>
        <v>0</v>
      </c>
      <c r="AR8" s="12">
        <f t="shared" si="3"/>
        <v>0</v>
      </c>
      <c r="AS8" s="12">
        <f t="shared" si="3"/>
        <v>0</v>
      </c>
      <c r="AT8" s="12">
        <f t="shared" si="3"/>
        <v>0</v>
      </c>
      <c r="AU8" s="12">
        <f t="shared" si="3"/>
        <v>0</v>
      </c>
      <c r="AV8" s="12">
        <f t="shared" si="3"/>
        <v>0</v>
      </c>
      <c r="AW8" s="12">
        <f t="shared" si="3"/>
        <v>0</v>
      </c>
      <c r="AX8" s="12">
        <f t="shared" si="3"/>
        <v>0</v>
      </c>
      <c r="AY8" s="12">
        <f t="shared" si="3"/>
        <v>0</v>
      </c>
      <c r="AZ8" s="12">
        <f t="shared" si="3"/>
        <v>0</v>
      </c>
      <c r="BA8" s="12">
        <f t="shared" si="3"/>
        <v>0</v>
      </c>
      <c r="BB8" s="12">
        <f t="shared" si="3"/>
        <v>0</v>
      </c>
      <c r="BC8" s="12">
        <f t="shared" si="3"/>
        <v>0</v>
      </c>
      <c r="BD8" s="13">
        <f t="shared" si="3"/>
        <v>0</v>
      </c>
      <c r="BE8" s="14"/>
    </row>
    <row r="9" spans="1:58" x14ac:dyDescent="0.3">
      <c r="A9" s="142"/>
      <c r="B9" s="116"/>
      <c r="C9" s="116"/>
      <c r="D9" s="143"/>
      <c r="E9" s="116"/>
      <c r="F9" s="116"/>
      <c r="G9" s="144"/>
      <c r="H9" s="112"/>
      <c r="I9" s="43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5"/>
      <c r="Y9" s="145"/>
      <c r="Z9" s="116"/>
      <c r="AA9" s="112"/>
      <c r="AB9" s="65">
        <f>ROUNDDOWN(AB8*10%,-1)</f>
        <v>0</v>
      </c>
      <c r="AC9" s="66">
        <f ca="1">IFERROR(IF(AND( OR(COUNTIF(I8:X9, "&gt;0")&gt;=$AJ$1, AA8&gt;=$AJ$4),AN8&lt;60,AA8&lt;=$AH$5),ROUNDDOWN(ROUNDDOWN(AA8,-3)*$AH$4%,-1),IF(AND(COUNTIF(I8:X9,"&gt;0")&gt;=$AJ$1,AN8&lt;60,AA8&gt;$AH$5),$AJ$5,0)),0)</f>
        <v>0</v>
      </c>
      <c r="AD9" s="67">
        <f>IF(Z8&gt;=$AJ$1,ROUNDDOWN(AD8*$AH$3%/($AH$2*2%),-1),0)</f>
        <v>0</v>
      </c>
      <c r="AE9" s="112"/>
      <c r="AF9" s="112"/>
      <c r="AG9" s="116"/>
      <c r="AH9" s="116"/>
      <c r="AI9" s="116"/>
      <c r="AJ9" s="115"/>
      <c r="AK9" s="114"/>
      <c r="AL9" s="149"/>
      <c r="AM9" s="115"/>
      <c r="AN9" s="113"/>
      <c r="AO9" s="112"/>
      <c r="AP9" s="15">
        <f t="shared" ref="AP9:BE9" si="4">IF($H8*I9&gt;150000,ROUNDDOWN(($H8*I9-150000)*6%*45%,0),0)</f>
        <v>0</v>
      </c>
      <c r="AQ9" s="16">
        <f t="shared" si="4"/>
        <v>0</v>
      </c>
      <c r="AR9" s="16">
        <f t="shared" si="4"/>
        <v>0</v>
      </c>
      <c r="AS9" s="16">
        <f t="shared" si="4"/>
        <v>0</v>
      </c>
      <c r="AT9" s="16">
        <f t="shared" si="4"/>
        <v>0</v>
      </c>
      <c r="AU9" s="16">
        <f t="shared" si="4"/>
        <v>0</v>
      </c>
      <c r="AV9" s="16">
        <f t="shared" si="4"/>
        <v>0</v>
      </c>
      <c r="AW9" s="16">
        <f t="shared" si="4"/>
        <v>0</v>
      </c>
      <c r="AX9" s="16">
        <f t="shared" si="4"/>
        <v>0</v>
      </c>
      <c r="AY9" s="16">
        <f t="shared" si="4"/>
        <v>0</v>
      </c>
      <c r="AZ9" s="16">
        <f t="shared" si="4"/>
        <v>0</v>
      </c>
      <c r="BA9" s="16">
        <f t="shared" si="4"/>
        <v>0</v>
      </c>
      <c r="BB9" s="16">
        <f t="shared" si="4"/>
        <v>0</v>
      </c>
      <c r="BC9" s="16">
        <f t="shared" si="4"/>
        <v>0</v>
      </c>
      <c r="BD9" s="16">
        <f t="shared" si="4"/>
        <v>0</v>
      </c>
      <c r="BE9" s="17">
        <f t="shared" si="4"/>
        <v>0</v>
      </c>
      <c r="BF9" s="28"/>
    </row>
    <row r="10" spans="1:58" x14ac:dyDescent="0.3">
      <c r="A10" s="142">
        <v>2</v>
      </c>
      <c r="B10" s="116" t="str">
        <f t="shared" ref="B10" si="5">IF(LEN(D10)&gt;1,IF(VALUE(MID(RIGHT(D10,7),1,1))&gt;4,"외국인",IF(VALUE(RIGHT(11-MOD((MID(D10,1,1)*2+MID(D10,2,1)*3+MID(D10,3,1)*4+MID(D10,4,1)*5+MID(D10,5,1)*6+MID(D10,6,1)*7+MID(RIGHT(D10,7),1,1)*8+MID(RIGHT(D10,7),2,1)*9+MID(RIGHT(D10,7),3,1)*2+MID(RIGHT(D10,7),4,1)*3+MID(RIGHT(D10,7),5,1)*4+MID(RIGHT(D10,7),6,1)*5),11),1))=VALUE(RIGHT(D10,1)),"","오류")),"")</f>
        <v/>
      </c>
      <c r="C10" s="116"/>
      <c r="D10" s="143"/>
      <c r="E10" s="116"/>
      <c r="F10" s="116"/>
      <c r="G10" s="144"/>
      <c r="H10" s="112"/>
      <c r="I10" s="38"/>
      <c r="J10" s="39"/>
      <c r="K10" s="39"/>
      <c r="L10" s="39"/>
      <c r="M10" s="39"/>
      <c r="N10" s="39"/>
      <c r="O10" s="39"/>
      <c r="P10" s="39"/>
      <c r="Q10" s="39"/>
      <c r="R10" s="39"/>
      <c r="S10" s="40"/>
      <c r="T10" s="40"/>
      <c r="U10" s="39"/>
      <c r="V10" s="39"/>
      <c r="W10" s="41"/>
      <c r="X10" s="42"/>
      <c r="Y10" s="145">
        <f>SUM(I10:X11)</f>
        <v>0</v>
      </c>
      <c r="Z10" s="116">
        <f>COUNTIF(I10:X11,"&gt;0")</f>
        <v>0</v>
      </c>
      <c r="AA10" s="112">
        <f t="shared" ref="AA10" si="6">H10*Y10</f>
        <v>0</v>
      </c>
      <c r="AB10" s="62">
        <f t="shared" ref="AB10" si="7">IF(AO10&lt;1000, 0, AO10)</f>
        <v>0</v>
      </c>
      <c r="AC10" s="63">
        <f ca="1">IF(IFERROR($AN10&lt;65,FALSE), IF(B10&lt;&gt;"외국인", ROUNDDOWN(AA10*$AH$1%,-1), IF(AND(AM10&lt;&gt;"", ISNUMBER(SEARCH(LEFT(SUBSTITUTE(AM10, "-",""),2), "F2_F5_F6"))), ROUNDDOWN(AA10*$AH$1%,-1), 0)),0)</f>
        <v>0</v>
      </c>
      <c r="AD10" s="64">
        <f t="shared" ref="AD10" si="8">IF(Z10&gt;=$AJ$1,ROUNDDOWN(AA10*$AH$2%,-1),0)</f>
        <v>0</v>
      </c>
      <c r="AE10" s="112">
        <f t="shared" ref="AE10" ca="1" si="9">AB10+AC10+AB11+AC11+AD10+AD11</f>
        <v>0</v>
      </c>
      <c r="AF10" s="112">
        <f t="shared" ref="AF10" ca="1" si="10">AA10-AE10</f>
        <v>0</v>
      </c>
      <c r="AG10" s="116"/>
      <c r="AH10" s="116"/>
      <c r="AI10" s="116"/>
      <c r="AJ10" s="115"/>
      <c r="AK10" s="114"/>
      <c r="AL10" s="149"/>
      <c r="AM10" s="115"/>
      <c r="AN10" s="113" t="str">
        <f t="shared" ref="AN10" ca="1" si="11">IFERROR(DATEDIF(DATE(IF(ISNUMBER(FIND(MID( SUBSTITUTE(D10, "-",""), 7, 1), "3478")), 2000, 1900)+MID(D10,1,2), MID(D10,3,2), MID(D10,5,2)), TODAY(), "Y"),"")</f>
        <v/>
      </c>
      <c r="AO10" s="112">
        <f>ROUNDDOWN(SUM(AP10:BE11),-1)</f>
        <v>0</v>
      </c>
      <c r="AP10" s="11">
        <f t="shared" ref="AP10" si="12">IF($H10*I10&gt;150000,ROUNDDOWN(($H10*I10-150000)*6%*45%,0),0)</f>
        <v>0</v>
      </c>
      <c r="AQ10" s="12">
        <f t="shared" ref="AQ10" si="13">IF($H10*J10&gt;150000,ROUNDDOWN(($H10*J10-150000)*6%*45%,0),0)</f>
        <v>0</v>
      </c>
      <c r="AR10" s="12">
        <f t="shared" ref="AR10" si="14">IF($H10*K10&gt;150000,ROUNDDOWN(($H10*K10-150000)*6%*45%,0),0)</f>
        <v>0</v>
      </c>
      <c r="AS10" s="12">
        <f t="shared" ref="AS10" si="15">IF($H10*L10&gt;150000,ROUNDDOWN(($H10*L10-150000)*6%*45%,0),0)</f>
        <v>0</v>
      </c>
      <c r="AT10" s="12">
        <f t="shared" ref="AT10" si="16">IF($H10*M10&gt;150000,ROUNDDOWN(($H10*M10-150000)*6%*45%,0),0)</f>
        <v>0</v>
      </c>
      <c r="AU10" s="12">
        <f t="shared" ref="AU10" si="17">IF($H10*N10&gt;150000,ROUNDDOWN(($H10*N10-150000)*6%*45%,0),0)</f>
        <v>0</v>
      </c>
      <c r="AV10" s="12">
        <f t="shared" ref="AV10" si="18">IF($H10*O10&gt;150000,ROUNDDOWN(($H10*O10-150000)*6%*45%,0),0)</f>
        <v>0</v>
      </c>
      <c r="AW10" s="12">
        <f t="shared" ref="AW10" si="19">IF($H10*P10&gt;150000,ROUNDDOWN(($H10*P10-150000)*6%*45%,0),0)</f>
        <v>0</v>
      </c>
      <c r="AX10" s="12">
        <f t="shared" ref="AX10" si="20">IF($H10*Q10&gt;150000,ROUNDDOWN(($H10*Q10-150000)*6%*45%,0),0)</f>
        <v>0</v>
      </c>
      <c r="AY10" s="12">
        <f t="shared" ref="AY10" si="21">IF($H10*R10&gt;150000,ROUNDDOWN(($H10*R10-150000)*6%*45%,0),0)</f>
        <v>0</v>
      </c>
      <c r="AZ10" s="12">
        <f t="shared" ref="AZ10" si="22">IF($H10*S10&gt;150000,ROUNDDOWN(($H10*S10-150000)*6%*45%,0),0)</f>
        <v>0</v>
      </c>
      <c r="BA10" s="12">
        <f t="shared" ref="BA10" si="23">IF($H10*T10&gt;150000,ROUNDDOWN(($H10*T10-150000)*6%*45%,0),0)</f>
        <v>0</v>
      </c>
      <c r="BB10" s="12">
        <f t="shared" ref="BB10" si="24">IF($H10*U10&gt;150000,ROUNDDOWN(($H10*U10-150000)*6%*45%,0),0)</f>
        <v>0</v>
      </c>
      <c r="BC10" s="12">
        <f t="shared" ref="BC10" si="25">IF($H10*V10&gt;150000,ROUNDDOWN(($H10*V10-150000)*6%*45%,0),0)</f>
        <v>0</v>
      </c>
      <c r="BD10" s="13">
        <f t="shared" ref="BD10" si="26">IF($H10*W10&gt;150000,ROUNDDOWN(($H10*W10-150000)*6%*45%,0),0)</f>
        <v>0</v>
      </c>
      <c r="BE10" s="14"/>
    </row>
    <row r="11" spans="1:58" x14ac:dyDescent="0.3">
      <c r="A11" s="142"/>
      <c r="B11" s="116"/>
      <c r="C11" s="116"/>
      <c r="D11" s="143"/>
      <c r="E11" s="116"/>
      <c r="F11" s="116"/>
      <c r="G11" s="144"/>
      <c r="H11" s="112"/>
      <c r="I11" s="4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5"/>
      <c r="Y11" s="145"/>
      <c r="Z11" s="116"/>
      <c r="AA11" s="112"/>
      <c r="AB11" s="65">
        <f t="shared" ref="AB11" si="27">ROUNDDOWN(AB10*10%,-1)</f>
        <v>0</v>
      </c>
      <c r="AC11" s="66">
        <f t="shared" ref="AC11" ca="1" si="28">IFERROR(IF(AND( OR(COUNTIF(I10:X11, "&gt;0")&gt;=$AJ$1, AA10&gt;=$AJ$4),AN10&lt;60,AA10&lt;=$AH$5),ROUNDDOWN(ROUNDDOWN(AA10,-3)*$AH$4%,-1),IF(AND(COUNTIF(I10:X11,"&gt;0")&gt;=$AJ$1,AN10&lt;60,AA10&gt;$AH$5),$AJ$5,0)),0)</f>
        <v>0</v>
      </c>
      <c r="AD11" s="67">
        <f t="shared" ref="AD11" si="29">IF(Z10&gt;=$AJ$1,ROUNDDOWN(AD10*$AH$3%/($AH$2*2%),-1),0)</f>
        <v>0</v>
      </c>
      <c r="AE11" s="112"/>
      <c r="AF11" s="112"/>
      <c r="AG11" s="116"/>
      <c r="AH11" s="116"/>
      <c r="AI11" s="116"/>
      <c r="AJ11" s="115"/>
      <c r="AK11" s="114"/>
      <c r="AL11" s="149"/>
      <c r="AM11" s="115"/>
      <c r="AN11" s="113"/>
      <c r="AO11" s="112"/>
      <c r="AP11" s="15">
        <f t="shared" ref="AP11" si="30">IF($H10*I11&gt;150000,ROUNDDOWN(($H10*I11-150000)*6%*45%,0),0)</f>
        <v>0</v>
      </c>
      <c r="AQ11" s="16">
        <f t="shared" ref="AQ11" si="31">IF($H10*J11&gt;150000,ROUNDDOWN(($H10*J11-150000)*6%*45%,0),0)</f>
        <v>0</v>
      </c>
      <c r="AR11" s="16">
        <f t="shared" ref="AR11" si="32">IF($H10*K11&gt;150000,ROUNDDOWN(($H10*K11-150000)*6%*45%,0),0)</f>
        <v>0</v>
      </c>
      <c r="AS11" s="16">
        <f t="shared" ref="AS11" si="33">IF($H10*L11&gt;150000,ROUNDDOWN(($H10*L11-150000)*6%*45%,0),0)</f>
        <v>0</v>
      </c>
      <c r="AT11" s="16">
        <f t="shared" ref="AT11" si="34">IF($H10*M11&gt;150000,ROUNDDOWN(($H10*M11-150000)*6%*45%,0),0)</f>
        <v>0</v>
      </c>
      <c r="AU11" s="16">
        <f t="shared" ref="AU11" si="35">IF($H10*N11&gt;150000,ROUNDDOWN(($H10*N11-150000)*6%*45%,0),0)</f>
        <v>0</v>
      </c>
      <c r="AV11" s="16">
        <f t="shared" ref="AV11" si="36">IF($H10*O11&gt;150000,ROUNDDOWN(($H10*O11-150000)*6%*45%,0),0)</f>
        <v>0</v>
      </c>
      <c r="AW11" s="16">
        <f t="shared" ref="AW11" si="37">IF($H10*P11&gt;150000,ROUNDDOWN(($H10*P11-150000)*6%*45%,0),0)</f>
        <v>0</v>
      </c>
      <c r="AX11" s="16">
        <f t="shared" ref="AX11" si="38">IF($H10*Q11&gt;150000,ROUNDDOWN(($H10*Q11-150000)*6%*45%,0),0)</f>
        <v>0</v>
      </c>
      <c r="AY11" s="16">
        <f t="shared" ref="AY11" si="39">IF($H10*R11&gt;150000,ROUNDDOWN(($H10*R11-150000)*6%*45%,0),0)</f>
        <v>0</v>
      </c>
      <c r="AZ11" s="16">
        <f t="shared" ref="AZ11" si="40">IF($H10*S11&gt;150000,ROUNDDOWN(($H10*S11-150000)*6%*45%,0),0)</f>
        <v>0</v>
      </c>
      <c r="BA11" s="16">
        <f t="shared" ref="BA11" si="41">IF($H10*T11&gt;150000,ROUNDDOWN(($H10*T11-150000)*6%*45%,0),0)</f>
        <v>0</v>
      </c>
      <c r="BB11" s="16">
        <f t="shared" ref="BB11" si="42">IF($H10*U11&gt;150000,ROUNDDOWN(($H10*U11-150000)*6%*45%,0),0)</f>
        <v>0</v>
      </c>
      <c r="BC11" s="16">
        <f t="shared" ref="BC11" si="43">IF($H10*V11&gt;150000,ROUNDDOWN(($H10*V11-150000)*6%*45%,0),0)</f>
        <v>0</v>
      </c>
      <c r="BD11" s="16">
        <f t="shared" ref="BD11" si="44">IF($H10*W11&gt;150000,ROUNDDOWN(($H10*W11-150000)*6%*45%,0),0)</f>
        <v>0</v>
      </c>
      <c r="BE11" s="17">
        <f t="shared" ref="BE11" si="45">IF($H10*X11&gt;150000,ROUNDDOWN(($H10*X11-150000)*6%*45%,0),0)</f>
        <v>0</v>
      </c>
      <c r="BF11" s="28"/>
    </row>
    <row r="12" spans="1:58" x14ac:dyDescent="0.3">
      <c r="A12" s="142">
        <v>3</v>
      </c>
      <c r="B12" s="116" t="str">
        <f t="shared" ref="B12" si="46">IF(LEN(D12)&gt;1,IF(VALUE(MID(RIGHT(D12,7),1,1))&gt;4,"외국인",IF(VALUE(RIGHT(11-MOD((MID(D12,1,1)*2+MID(D12,2,1)*3+MID(D12,3,1)*4+MID(D12,4,1)*5+MID(D12,5,1)*6+MID(D12,6,1)*7+MID(RIGHT(D12,7),1,1)*8+MID(RIGHT(D12,7),2,1)*9+MID(RIGHT(D12,7),3,1)*2+MID(RIGHT(D12,7),4,1)*3+MID(RIGHT(D12,7),5,1)*4+MID(RIGHT(D12,7),6,1)*5),11),1))=VALUE(RIGHT(D12,1)),"","오류")),"")</f>
        <v/>
      </c>
      <c r="C12" s="116"/>
      <c r="D12" s="143"/>
      <c r="E12" s="116"/>
      <c r="F12" s="116"/>
      <c r="G12" s="144"/>
      <c r="H12" s="112"/>
      <c r="I12" s="38"/>
      <c r="J12" s="39"/>
      <c r="K12" s="39"/>
      <c r="L12" s="39"/>
      <c r="M12" s="39"/>
      <c r="N12" s="39"/>
      <c r="O12" s="39"/>
      <c r="P12" s="39"/>
      <c r="Q12" s="39"/>
      <c r="R12" s="39"/>
      <c r="S12" s="40"/>
      <c r="T12" s="40"/>
      <c r="U12" s="39"/>
      <c r="V12" s="39"/>
      <c r="W12" s="41"/>
      <c r="X12" s="42"/>
      <c r="Y12" s="145">
        <f>SUM(I12:X13)</f>
        <v>0</v>
      </c>
      <c r="Z12" s="116">
        <f>COUNTIF(I12:X13,"&gt;0")</f>
        <v>0</v>
      </c>
      <c r="AA12" s="112">
        <f t="shared" ref="AA12" si="47">H12*Y12</f>
        <v>0</v>
      </c>
      <c r="AB12" s="62">
        <f t="shared" ref="AB12" si="48">IF(AO12&lt;1000, 0, AO12)</f>
        <v>0</v>
      </c>
      <c r="AC12" s="63">
        <f ca="1">IF(IFERROR($AN12&lt;65,FALSE), IF(B12&lt;&gt;"외국인", ROUNDDOWN(AA12*$AH$1%,-1), IF(AND(AM12&lt;&gt;"", ISNUMBER(SEARCH(LEFT(SUBSTITUTE(AM12, "-",""),2), "F2_F5_F6"))), ROUNDDOWN(AA12*$AH$1%,-1), 0)),0)</f>
        <v>0</v>
      </c>
      <c r="AD12" s="64">
        <f t="shared" ref="AD12" si="49">IF(Z12&gt;=$AJ$1,ROUNDDOWN(AA12*$AH$2%,-1),0)</f>
        <v>0</v>
      </c>
      <c r="AE12" s="112">
        <f t="shared" ref="AE12" ca="1" si="50">AB12+AC12+AB13+AC13+AD12+AD13</f>
        <v>0</v>
      </c>
      <c r="AF12" s="112">
        <f t="shared" ref="AF12" ca="1" si="51">AA12-AE12</f>
        <v>0</v>
      </c>
      <c r="AG12" s="116"/>
      <c r="AH12" s="116"/>
      <c r="AI12" s="116"/>
      <c r="AJ12" s="115"/>
      <c r="AK12" s="114"/>
      <c r="AL12" s="149"/>
      <c r="AM12" s="115"/>
      <c r="AN12" s="113" t="str">
        <f t="shared" ref="AN12" ca="1" si="52">IFERROR(DATEDIF(DATE(IF(ISNUMBER(FIND(MID( SUBSTITUTE(D12, "-",""), 7, 1), "3478")), 2000, 1900)+MID(D12,1,2), MID(D12,3,2), MID(D12,5,2)), TODAY(), "Y"),"")</f>
        <v/>
      </c>
      <c r="AO12" s="112">
        <f>ROUNDDOWN(SUM(AP12:BE13),-1)</f>
        <v>0</v>
      </c>
      <c r="AP12" s="11">
        <f t="shared" ref="AP12" si="53">IF($H12*I12&gt;150000,ROUNDDOWN(($H12*I12-150000)*6%*45%,0),0)</f>
        <v>0</v>
      </c>
      <c r="AQ12" s="12">
        <f t="shared" ref="AQ12" si="54">IF($H12*J12&gt;150000,ROUNDDOWN(($H12*J12-150000)*6%*45%,0),0)</f>
        <v>0</v>
      </c>
      <c r="AR12" s="12">
        <f t="shared" ref="AR12" si="55">IF($H12*K12&gt;150000,ROUNDDOWN(($H12*K12-150000)*6%*45%,0),0)</f>
        <v>0</v>
      </c>
      <c r="AS12" s="12">
        <f t="shared" ref="AS12" si="56">IF($H12*L12&gt;150000,ROUNDDOWN(($H12*L12-150000)*6%*45%,0),0)</f>
        <v>0</v>
      </c>
      <c r="AT12" s="12">
        <f t="shared" ref="AT12" si="57">IF($H12*M12&gt;150000,ROUNDDOWN(($H12*M12-150000)*6%*45%,0),0)</f>
        <v>0</v>
      </c>
      <c r="AU12" s="12">
        <f t="shared" ref="AU12" si="58">IF($H12*N12&gt;150000,ROUNDDOWN(($H12*N12-150000)*6%*45%,0),0)</f>
        <v>0</v>
      </c>
      <c r="AV12" s="12">
        <f t="shared" ref="AV12" si="59">IF($H12*O12&gt;150000,ROUNDDOWN(($H12*O12-150000)*6%*45%,0),0)</f>
        <v>0</v>
      </c>
      <c r="AW12" s="12">
        <f t="shared" ref="AW12" si="60">IF($H12*P12&gt;150000,ROUNDDOWN(($H12*P12-150000)*6%*45%,0),0)</f>
        <v>0</v>
      </c>
      <c r="AX12" s="12">
        <f t="shared" ref="AX12" si="61">IF($H12*Q12&gt;150000,ROUNDDOWN(($H12*Q12-150000)*6%*45%,0),0)</f>
        <v>0</v>
      </c>
      <c r="AY12" s="12">
        <f t="shared" ref="AY12" si="62">IF($H12*R12&gt;150000,ROUNDDOWN(($H12*R12-150000)*6%*45%,0),0)</f>
        <v>0</v>
      </c>
      <c r="AZ12" s="12">
        <f t="shared" ref="AZ12" si="63">IF($H12*S12&gt;150000,ROUNDDOWN(($H12*S12-150000)*6%*45%,0),0)</f>
        <v>0</v>
      </c>
      <c r="BA12" s="12">
        <f t="shared" ref="BA12" si="64">IF($H12*T12&gt;150000,ROUNDDOWN(($H12*T12-150000)*6%*45%,0),0)</f>
        <v>0</v>
      </c>
      <c r="BB12" s="12">
        <f t="shared" ref="BB12" si="65">IF($H12*U12&gt;150000,ROUNDDOWN(($H12*U12-150000)*6%*45%,0),0)</f>
        <v>0</v>
      </c>
      <c r="BC12" s="12">
        <f t="shared" ref="BC12" si="66">IF($H12*V12&gt;150000,ROUNDDOWN(($H12*V12-150000)*6%*45%,0),0)</f>
        <v>0</v>
      </c>
      <c r="BD12" s="13">
        <f t="shared" ref="BD12" si="67">IF($H12*W12&gt;150000,ROUNDDOWN(($H12*W12-150000)*6%*45%,0),0)</f>
        <v>0</v>
      </c>
      <c r="BE12" s="14"/>
    </row>
    <row r="13" spans="1:58" x14ac:dyDescent="0.3">
      <c r="A13" s="142"/>
      <c r="B13" s="116"/>
      <c r="C13" s="116"/>
      <c r="D13" s="143"/>
      <c r="E13" s="116"/>
      <c r="F13" s="116"/>
      <c r="G13" s="144"/>
      <c r="H13" s="112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5"/>
      <c r="Y13" s="145"/>
      <c r="Z13" s="116"/>
      <c r="AA13" s="112"/>
      <c r="AB13" s="65">
        <f t="shared" ref="AB13" si="68">ROUNDDOWN(AB12*10%,-1)</f>
        <v>0</v>
      </c>
      <c r="AC13" s="66">
        <f t="shared" ref="AC13" ca="1" si="69">IFERROR(IF(AND( OR(COUNTIF(I12:X13, "&gt;0")&gt;=$AJ$1, AA12&gt;=$AJ$4),AN12&lt;60,AA12&lt;=$AH$5),ROUNDDOWN(ROUNDDOWN(AA12,-3)*$AH$4%,-1),IF(AND(COUNTIF(I12:X13,"&gt;0")&gt;=$AJ$1,AN12&lt;60,AA12&gt;$AH$5),$AJ$5,0)),0)</f>
        <v>0</v>
      </c>
      <c r="AD13" s="67">
        <f t="shared" ref="AD13" si="70">IF(Z12&gt;=$AJ$1,ROUNDDOWN(AD12*$AH$3%/($AH$2*2%),-1),0)</f>
        <v>0</v>
      </c>
      <c r="AE13" s="112"/>
      <c r="AF13" s="112"/>
      <c r="AG13" s="116"/>
      <c r="AH13" s="116"/>
      <c r="AI13" s="116"/>
      <c r="AJ13" s="115"/>
      <c r="AK13" s="114"/>
      <c r="AL13" s="149"/>
      <c r="AM13" s="115"/>
      <c r="AN13" s="113"/>
      <c r="AO13" s="112"/>
      <c r="AP13" s="15">
        <f t="shared" ref="AP13" si="71">IF($H12*I13&gt;150000,ROUNDDOWN(($H12*I13-150000)*6%*45%,0),0)</f>
        <v>0</v>
      </c>
      <c r="AQ13" s="16">
        <f t="shared" ref="AQ13" si="72">IF($H12*J13&gt;150000,ROUNDDOWN(($H12*J13-150000)*6%*45%,0),0)</f>
        <v>0</v>
      </c>
      <c r="AR13" s="16">
        <f t="shared" ref="AR13" si="73">IF($H12*K13&gt;150000,ROUNDDOWN(($H12*K13-150000)*6%*45%,0),0)</f>
        <v>0</v>
      </c>
      <c r="AS13" s="16">
        <f t="shared" ref="AS13" si="74">IF($H12*L13&gt;150000,ROUNDDOWN(($H12*L13-150000)*6%*45%,0),0)</f>
        <v>0</v>
      </c>
      <c r="AT13" s="16">
        <f t="shared" ref="AT13" si="75">IF($H12*M13&gt;150000,ROUNDDOWN(($H12*M13-150000)*6%*45%,0),0)</f>
        <v>0</v>
      </c>
      <c r="AU13" s="16">
        <f t="shared" ref="AU13" si="76">IF($H12*N13&gt;150000,ROUNDDOWN(($H12*N13-150000)*6%*45%,0),0)</f>
        <v>0</v>
      </c>
      <c r="AV13" s="16">
        <f t="shared" ref="AV13" si="77">IF($H12*O13&gt;150000,ROUNDDOWN(($H12*O13-150000)*6%*45%,0),0)</f>
        <v>0</v>
      </c>
      <c r="AW13" s="16">
        <f t="shared" ref="AW13" si="78">IF($H12*P13&gt;150000,ROUNDDOWN(($H12*P13-150000)*6%*45%,0),0)</f>
        <v>0</v>
      </c>
      <c r="AX13" s="16">
        <f t="shared" ref="AX13" si="79">IF($H12*Q13&gt;150000,ROUNDDOWN(($H12*Q13-150000)*6%*45%,0),0)</f>
        <v>0</v>
      </c>
      <c r="AY13" s="16">
        <f t="shared" ref="AY13" si="80">IF($H12*R13&gt;150000,ROUNDDOWN(($H12*R13-150000)*6%*45%,0),0)</f>
        <v>0</v>
      </c>
      <c r="AZ13" s="16">
        <f t="shared" ref="AZ13" si="81">IF($H12*S13&gt;150000,ROUNDDOWN(($H12*S13-150000)*6%*45%,0),0)</f>
        <v>0</v>
      </c>
      <c r="BA13" s="16">
        <f t="shared" ref="BA13" si="82">IF($H12*T13&gt;150000,ROUNDDOWN(($H12*T13-150000)*6%*45%,0),0)</f>
        <v>0</v>
      </c>
      <c r="BB13" s="16">
        <f t="shared" ref="BB13" si="83">IF($H12*U13&gt;150000,ROUNDDOWN(($H12*U13-150000)*6%*45%,0),0)</f>
        <v>0</v>
      </c>
      <c r="BC13" s="16">
        <f t="shared" ref="BC13" si="84">IF($H12*V13&gt;150000,ROUNDDOWN(($H12*V13-150000)*6%*45%,0),0)</f>
        <v>0</v>
      </c>
      <c r="BD13" s="16">
        <f t="shared" ref="BD13" si="85">IF($H12*W13&gt;150000,ROUNDDOWN(($H12*W13-150000)*6%*45%,0),0)</f>
        <v>0</v>
      </c>
      <c r="BE13" s="17">
        <f t="shared" ref="BE13" si="86">IF($H12*X13&gt;150000,ROUNDDOWN(($H12*X13-150000)*6%*45%,0),0)</f>
        <v>0</v>
      </c>
      <c r="BF13" s="28"/>
    </row>
    <row r="14" spans="1:58" x14ac:dyDescent="0.3">
      <c r="A14" s="142">
        <v>4</v>
      </c>
      <c r="B14" s="116" t="str">
        <f t="shared" ref="B14" si="87">IF(LEN(D14)&gt;1,IF(VALUE(MID(RIGHT(D14,7),1,1))&gt;4,"외국인",IF(VALUE(RIGHT(11-MOD((MID(D14,1,1)*2+MID(D14,2,1)*3+MID(D14,3,1)*4+MID(D14,4,1)*5+MID(D14,5,1)*6+MID(D14,6,1)*7+MID(RIGHT(D14,7),1,1)*8+MID(RIGHT(D14,7),2,1)*9+MID(RIGHT(D14,7),3,1)*2+MID(RIGHT(D14,7),4,1)*3+MID(RIGHT(D14,7),5,1)*4+MID(RIGHT(D14,7),6,1)*5),11),1))=VALUE(RIGHT(D14,1)),"","오류")),"")</f>
        <v/>
      </c>
      <c r="C14" s="116"/>
      <c r="D14" s="143"/>
      <c r="E14" s="116"/>
      <c r="F14" s="116"/>
      <c r="G14" s="144"/>
      <c r="H14" s="112"/>
      <c r="I14" s="38"/>
      <c r="J14" s="39"/>
      <c r="K14" s="39"/>
      <c r="L14" s="39"/>
      <c r="M14" s="39"/>
      <c r="N14" s="39"/>
      <c r="O14" s="39"/>
      <c r="P14" s="39"/>
      <c r="Q14" s="39"/>
      <c r="R14" s="39"/>
      <c r="S14" s="40"/>
      <c r="T14" s="40"/>
      <c r="U14" s="39"/>
      <c r="V14" s="39"/>
      <c r="W14" s="41"/>
      <c r="X14" s="42"/>
      <c r="Y14" s="145">
        <f>SUM(I14:X15)</f>
        <v>0</v>
      </c>
      <c r="Z14" s="116">
        <f>COUNTIF(I14:X15,"&gt;0")</f>
        <v>0</v>
      </c>
      <c r="AA14" s="112">
        <f t="shared" ref="AA14" si="88">H14*Y14</f>
        <v>0</v>
      </c>
      <c r="AB14" s="62">
        <f t="shared" ref="AB14" si="89">IF(AO14&lt;1000, 0, AO14)</f>
        <v>0</v>
      </c>
      <c r="AC14" s="63">
        <f ca="1">IF(IFERROR($AN14&lt;65,FALSE), IF(B14&lt;&gt;"외국인", ROUNDDOWN(AA14*$AH$1%,-1), IF(AND(AM14&lt;&gt;"", ISNUMBER(SEARCH(LEFT(SUBSTITUTE(AM14, "-",""),2), "F2_F5_F6"))), ROUNDDOWN(AA14*$AH$1%,-1), 0)),0)</f>
        <v>0</v>
      </c>
      <c r="AD14" s="64">
        <f t="shared" ref="AD14" si="90">IF(Z14&gt;=$AJ$1,ROUNDDOWN(AA14*$AH$2%,-1),0)</f>
        <v>0</v>
      </c>
      <c r="AE14" s="112">
        <f t="shared" ref="AE14" ca="1" si="91">AB14+AC14+AB15+AC15+AD14+AD15</f>
        <v>0</v>
      </c>
      <c r="AF14" s="112">
        <f t="shared" ref="AF14" ca="1" si="92">AA14-AE14</f>
        <v>0</v>
      </c>
      <c r="AG14" s="116"/>
      <c r="AH14" s="116"/>
      <c r="AI14" s="116"/>
      <c r="AJ14" s="115"/>
      <c r="AK14" s="114"/>
      <c r="AL14" s="149"/>
      <c r="AM14" s="115"/>
      <c r="AN14" s="113" t="str">
        <f t="shared" ref="AN14" ca="1" si="93">IFERROR(DATEDIF(DATE(IF(ISNUMBER(FIND(MID( SUBSTITUTE(D14, "-",""), 7, 1), "3478")), 2000, 1900)+MID(D14,1,2), MID(D14,3,2), MID(D14,5,2)), TODAY(), "Y"),"")</f>
        <v/>
      </c>
      <c r="AO14" s="112">
        <f>ROUNDDOWN(SUM(AP14:BE15),-1)</f>
        <v>0</v>
      </c>
      <c r="AP14" s="11">
        <f t="shared" ref="AP14" si="94">IF($H14*I14&gt;150000,ROUNDDOWN(($H14*I14-150000)*6%*45%,0),0)</f>
        <v>0</v>
      </c>
      <c r="AQ14" s="12">
        <f t="shared" ref="AQ14" si="95">IF($H14*J14&gt;150000,ROUNDDOWN(($H14*J14-150000)*6%*45%,0),0)</f>
        <v>0</v>
      </c>
      <c r="AR14" s="12">
        <f t="shared" ref="AR14" si="96">IF($H14*K14&gt;150000,ROUNDDOWN(($H14*K14-150000)*6%*45%,0),0)</f>
        <v>0</v>
      </c>
      <c r="AS14" s="12">
        <f t="shared" ref="AS14" si="97">IF($H14*L14&gt;150000,ROUNDDOWN(($H14*L14-150000)*6%*45%,0),0)</f>
        <v>0</v>
      </c>
      <c r="AT14" s="12">
        <f t="shared" ref="AT14" si="98">IF($H14*M14&gt;150000,ROUNDDOWN(($H14*M14-150000)*6%*45%,0),0)</f>
        <v>0</v>
      </c>
      <c r="AU14" s="12">
        <f t="shared" ref="AU14" si="99">IF($H14*N14&gt;150000,ROUNDDOWN(($H14*N14-150000)*6%*45%,0),0)</f>
        <v>0</v>
      </c>
      <c r="AV14" s="12">
        <f t="shared" ref="AV14" si="100">IF($H14*O14&gt;150000,ROUNDDOWN(($H14*O14-150000)*6%*45%,0),0)</f>
        <v>0</v>
      </c>
      <c r="AW14" s="12">
        <f t="shared" ref="AW14" si="101">IF($H14*P14&gt;150000,ROUNDDOWN(($H14*P14-150000)*6%*45%,0),0)</f>
        <v>0</v>
      </c>
      <c r="AX14" s="12">
        <f t="shared" ref="AX14" si="102">IF($H14*Q14&gt;150000,ROUNDDOWN(($H14*Q14-150000)*6%*45%,0),0)</f>
        <v>0</v>
      </c>
      <c r="AY14" s="12">
        <f t="shared" ref="AY14" si="103">IF($H14*R14&gt;150000,ROUNDDOWN(($H14*R14-150000)*6%*45%,0),0)</f>
        <v>0</v>
      </c>
      <c r="AZ14" s="12">
        <f t="shared" ref="AZ14" si="104">IF($H14*S14&gt;150000,ROUNDDOWN(($H14*S14-150000)*6%*45%,0),0)</f>
        <v>0</v>
      </c>
      <c r="BA14" s="12">
        <f t="shared" ref="BA14" si="105">IF($H14*T14&gt;150000,ROUNDDOWN(($H14*T14-150000)*6%*45%,0),0)</f>
        <v>0</v>
      </c>
      <c r="BB14" s="12">
        <f t="shared" ref="BB14" si="106">IF($H14*U14&gt;150000,ROUNDDOWN(($H14*U14-150000)*6%*45%,0),0)</f>
        <v>0</v>
      </c>
      <c r="BC14" s="12">
        <f t="shared" ref="BC14" si="107">IF($H14*V14&gt;150000,ROUNDDOWN(($H14*V14-150000)*6%*45%,0),0)</f>
        <v>0</v>
      </c>
      <c r="BD14" s="13">
        <f t="shared" ref="BD14" si="108">IF($H14*W14&gt;150000,ROUNDDOWN(($H14*W14-150000)*6%*45%,0),0)</f>
        <v>0</v>
      </c>
      <c r="BE14" s="14"/>
    </row>
    <row r="15" spans="1:58" x14ac:dyDescent="0.3">
      <c r="A15" s="142"/>
      <c r="B15" s="116"/>
      <c r="C15" s="116"/>
      <c r="D15" s="143"/>
      <c r="E15" s="116"/>
      <c r="F15" s="116"/>
      <c r="G15" s="144"/>
      <c r="H15" s="112"/>
      <c r="I15" s="43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5"/>
      <c r="Y15" s="145"/>
      <c r="Z15" s="116"/>
      <c r="AA15" s="112"/>
      <c r="AB15" s="65">
        <f t="shared" ref="AB15" si="109">ROUNDDOWN(AB14*10%,-1)</f>
        <v>0</v>
      </c>
      <c r="AC15" s="66">
        <f t="shared" ref="AC15" ca="1" si="110">IFERROR(IF(AND( OR(COUNTIF(I14:X15, "&gt;0")&gt;=$AJ$1, AA14&gt;=$AJ$4),AN14&lt;60,AA14&lt;=$AH$5),ROUNDDOWN(ROUNDDOWN(AA14,-3)*$AH$4%,-1),IF(AND(COUNTIF(I14:X15,"&gt;0")&gt;=$AJ$1,AN14&lt;60,AA14&gt;$AH$5),$AJ$5,0)),0)</f>
        <v>0</v>
      </c>
      <c r="AD15" s="67">
        <f t="shared" ref="AD15" si="111">IF(Z14&gt;=$AJ$1,ROUNDDOWN(AD14*$AH$3%/($AH$2*2%),-1),0)</f>
        <v>0</v>
      </c>
      <c r="AE15" s="112"/>
      <c r="AF15" s="112"/>
      <c r="AG15" s="116"/>
      <c r="AH15" s="116"/>
      <c r="AI15" s="116"/>
      <c r="AJ15" s="115"/>
      <c r="AK15" s="114"/>
      <c r="AL15" s="149"/>
      <c r="AM15" s="115"/>
      <c r="AN15" s="113"/>
      <c r="AO15" s="112"/>
      <c r="AP15" s="15">
        <f t="shared" ref="AP15" si="112">IF($H14*I15&gt;150000,ROUNDDOWN(($H14*I15-150000)*6%*45%,0),0)</f>
        <v>0</v>
      </c>
      <c r="AQ15" s="16">
        <f t="shared" ref="AQ15" si="113">IF($H14*J15&gt;150000,ROUNDDOWN(($H14*J15-150000)*6%*45%,0),0)</f>
        <v>0</v>
      </c>
      <c r="AR15" s="16">
        <f t="shared" ref="AR15" si="114">IF($H14*K15&gt;150000,ROUNDDOWN(($H14*K15-150000)*6%*45%,0),0)</f>
        <v>0</v>
      </c>
      <c r="AS15" s="16">
        <f t="shared" ref="AS15" si="115">IF($H14*L15&gt;150000,ROUNDDOWN(($H14*L15-150000)*6%*45%,0),0)</f>
        <v>0</v>
      </c>
      <c r="AT15" s="16">
        <f t="shared" ref="AT15" si="116">IF($H14*M15&gt;150000,ROUNDDOWN(($H14*M15-150000)*6%*45%,0),0)</f>
        <v>0</v>
      </c>
      <c r="AU15" s="16">
        <f t="shared" ref="AU15" si="117">IF($H14*N15&gt;150000,ROUNDDOWN(($H14*N15-150000)*6%*45%,0),0)</f>
        <v>0</v>
      </c>
      <c r="AV15" s="16">
        <f t="shared" ref="AV15" si="118">IF($H14*O15&gt;150000,ROUNDDOWN(($H14*O15-150000)*6%*45%,0),0)</f>
        <v>0</v>
      </c>
      <c r="AW15" s="16">
        <f t="shared" ref="AW15" si="119">IF($H14*P15&gt;150000,ROUNDDOWN(($H14*P15-150000)*6%*45%,0),0)</f>
        <v>0</v>
      </c>
      <c r="AX15" s="16">
        <f t="shared" ref="AX15" si="120">IF($H14*Q15&gt;150000,ROUNDDOWN(($H14*Q15-150000)*6%*45%,0),0)</f>
        <v>0</v>
      </c>
      <c r="AY15" s="16">
        <f t="shared" ref="AY15" si="121">IF($H14*R15&gt;150000,ROUNDDOWN(($H14*R15-150000)*6%*45%,0),0)</f>
        <v>0</v>
      </c>
      <c r="AZ15" s="16">
        <f t="shared" ref="AZ15" si="122">IF($H14*S15&gt;150000,ROUNDDOWN(($H14*S15-150000)*6%*45%,0),0)</f>
        <v>0</v>
      </c>
      <c r="BA15" s="16">
        <f t="shared" ref="BA15" si="123">IF($H14*T15&gt;150000,ROUNDDOWN(($H14*T15-150000)*6%*45%,0),0)</f>
        <v>0</v>
      </c>
      <c r="BB15" s="16">
        <f t="shared" ref="BB15" si="124">IF($H14*U15&gt;150000,ROUNDDOWN(($H14*U15-150000)*6%*45%,0),0)</f>
        <v>0</v>
      </c>
      <c r="BC15" s="16">
        <f t="shared" ref="BC15" si="125">IF($H14*V15&gt;150000,ROUNDDOWN(($H14*V15-150000)*6%*45%,0),0)</f>
        <v>0</v>
      </c>
      <c r="BD15" s="16">
        <f t="shared" ref="BD15" si="126">IF($H14*W15&gt;150000,ROUNDDOWN(($H14*W15-150000)*6%*45%,0),0)</f>
        <v>0</v>
      </c>
      <c r="BE15" s="17">
        <f t="shared" ref="BE15" si="127">IF($H14*X15&gt;150000,ROUNDDOWN(($H14*X15-150000)*6%*45%,0),0)</f>
        <v>0</v>
      </c>
      <c r="BF15" s="28"/>
    </row>
    <row r="16" spans="1:58" x14ac:dyDescent="0.3">
      <c r="A16" s="142">
        <v>5</v>
      </c>
      <c r="B16" s="116" t="str">
        <f t="shared" ref="B16" si="128">IF(LEN(D16)&gt;1,IF(VALUE(MID(RIGHT(D16,7),1,1))&gt;4,"외국인",IF(VALUE(RIGHT(11-MOD((MID(D16,1,1)*2+MID(D16,2,1)*3+MID(D16,3,1)*4+MID(D16,4,1)*5+MID(D16,5,1)*6+MID(D16,6,1)*7+MID(RIGHT(D16,7),1,1)*8+MID(RIGHT(D16,7),2,1)*9+MID(RIGHT(D16,7),3,1)*2+MID(RIGHT(D16,7),4,1)*3+MID(RIGHT(D16,7),5,1)*4+MID(RIGHT(D16,7),6,1)*5),11),1))=VALUE(RIGHT(D16,1)),"","오류")),"")</f>
        <v/>
      </c>
      <c r="C16" s="116"/>
      <c r="D16" s="143"/>
      <c r="E16" s="116"/>
      <c r="F16" s="116"/>
      <c r="G16" s="144"/>
      <c r="H16" s="112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40"/>
      <c r="T16" s="40"/>
      <c r="U16" s="39"/>
      <c r="V16" s="39"/>
      <c r="W16" s="41"/>
      <c r="X16" s="42"/>
      <c r="Y16" s="145">
        <f>SUM(I16:X17)</f>
        <v>0</v>
      </c>
      <c r="Z16" s="116">
        <f>COUNTIF(I16:X17,"&gt;0")</f>
        <v>0</v>
      </c>
      <c r="AA16" s="112">
        <f t="shared" ref="AA16" si="129">H16*Y16</f>
        <v>0</v>
      </c>
      <c r="AB16" s="62">
        <f t="shared" ref="AB16" si="130">IF(AO16&lt;1000, 0, AO16)</f>
        <v>0</v>
      </c>
      <c r="AC16" s="63">
        <f ca="1">IF(IFERROR($AN16&lt;65,FALSE), IF(B16&lt;&gt;"외국인", ROUNDDOWN(AA16*$AH$1%,-1), IF(AND(AM16&lt;&gt;"", ISNUMBER(SEARCH(LEFT(SUBSTITUTE(AM16, "-",""),2), "F2_F5_F6"))), ROUNDDOWN(AA16*$AH$1%,-1), 0)),0)</f>
        <v>0</v>
      </c>
      <c r="AD16" s="64">
        <f t="shared" ref="AD16" si="131">IF(Z16&gt;=$AJ$1,ROUNDDOWN(AA16*$AH$2%,-1),0)</f>
        <v>0</v>
      </c>
      <c r="AE16" s="112">
        <f t="shared" ref="AE16" ca="1" si="132">AB16+AC16+AB17+AC17+AD16+AD17</f>
        <v>0</v>
      </c>
      <c r="AF16" s="112">
        <f t="shared" ref="AF16" ca="1" si="133">AA16-AE16</f>
        <v>0</v>
      </c>
      <c r="AG16" s="116"/>
      <c r="AH16" s="116"/>
      <c r="AI16" s="116"/>
      <c r="AJ16" s="115"/>
      <c r="AK16" s="114"/>
      <c r="AL16" s="149"/>
      <c r="AM16" s="115"/>
      <c r="AN16" s="113" t="str">
        <f t="shared" ref="AN16" ca="1" si="134">IFERROR(DATEDIF(DATE(IF(ISNUMBER(FIND(MID( SUBSTITUTE(D16, "-",""), 7, 1), "3478")), 2000, 1900)+MID(D16,1,2), MID(D16,3,2), MID(D16,5,2)), TODAY(), "Y"),"")</f>
        <v/>
      </c>
      <c r="AO16" s="112">
        <f>ROUNDDOWN(SUM(AP16:BE17),-1)</f>
        <v>0</v>
      </c>
      <c r="AP16" s="11">
        <f t="shared" ref="AP16" si="135">IF($H16*I16&gt;150000,ROUNDDOWN(($H16*I16-150000)*6%*45%,0),0)</f>
        <v>0</v>
      </c>
      <c r="AQ16" s="12">
        <f t="shared" ref="AQ16" si="136">IF($H16*J16&gt;150000,ROUNDDOWN(($H16*J16-150000)*6%*45%,0),0)</f>
        <v>0</v>
      </c>
      <c r="AR16" s="12">
        <f t="shared" ref="AR16" si="137">IF($H16*K16&gt;150000,ROUNDDOWN(($H16*K16-150000)*6%*45%,0),0)</f>
        <v>0</v>
      </c>
      <c r="AS16" s="12">
        <f t="shared" ref="AS16" si="138">IF($H16*L16&gt;150000,ROUNDDOWN(($H16*L16-150000)*6%*45%,0),0)</f>
        <v>0</v>
      </c>
      <c r="AT16" s="12">
        <f t="shared" ref="AT16" si="139">IF($H16*M16&gt;150000,ROUNDDOWN(($H16*M16-150000)*6%*45%,0),0)</f>
        <v>0</v>
      </c>
      <c r="AU16" s="12">
        <f t="shared" ref="AU16" si="140">IF($H16*N16&gt;150000,ROUNDDOWN(($H16*N16-150000)*6%*45%,0),0)</f>
        <v>0</v>
      </c>
      <c r="AV16" s="12">
        <f t="shared" ref="AV16" si="141">IF($H16*O16&gt;150000,ROUNDDOWN(($H16*O16-150000)*6%*45%,0),0)</f>
        <v>0</v>
      </c>
      <c r="AW16" s="12">
        <f t="shared" ref="AW16" si="142">IF($H16*P16&gt;150000,ROUNDDOWN(($H16*P16-150000)*6%*45%,0),0)</f>
        <v>0</v>
      </c>
      <c r="AX16" s="12">
        <f t="shared" ref="AX16" si="143">IF($H16*Q16&gt;150000,ROUNDDOWN(($H16*Q16-150000)*6%*45%,0),0)</f>
        <v>0</v>
      </c>
      <c r="AY16" s="12">
        <f t="shared" ref="AY16" si="144">IF($H16*R16&gt;150000,ROUNDDOWN(($H16*R16-150000)*6%*45%,0),0)</f>
        <v>0</v>
      </c>
      <c r="AZ16" s="12">
        <f t="shared" ref="AZ16" si="145">IF($H16*S16&gt;150000,ROUNDDOWN(($H16*S16-150000)*6%*45%,0),0)</f>
        <v>0</v>
      </c>
      <c r="BA16" s="12">
        <f t="shared" ref="BA16" si="146">IF($H16*T16&gt;150000,ROUNDDOWN(($H16*T16-150000)*6%*45%,0),0)</f>
        <v>0</v>
      </c>
      <c r="BB16" s="12">
        <f t="shared" ref="BB16" si="147">IF($H16*U16&gt;150000,ROUNDDOWN(($H16*U16-150000)*6%*45%,0),0)</f>
        <v>0</v>
      </c>
      <c r="BC16" s="12">
        <f t="shared" ref="BC16" si="148">IF($H16*V16&gt;150000,ROUNDDOWN(($H16*V16-150000)*6%*45%,0),0)</f>
        <v>0</v>
      </c>
      <c r="BD16" s="13">
        <f t="shared" ref="BD16" si="149">IF($H16*W16&gt;150000,ROUNDDOWN(($H16*W16-150000)*6%*45%,0),0)</f>
        <v>0</v>
      </c>
      <c r="BE16" s="14"/>
    </row>
    <row r="17" spans="1:58" x14ac:dyDescent="0.3">
      <c r="A17" s="142"/>
      <c r="B17" s="116"/>
      <c r="C17" s="116"/>
      <c r="D17" s="143"/>
      <c r="E17" s="116"/>
      <c r="F17" s="116"/>
      <c r="G17" s="144"/>
      <c r="H17" s="112"/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5"/>
      <c r="Y17" s="145"/>
      <c r="Z17" s="116"/>
      <c r="AA17" s="112"/>
      <c r="AB17" s="65">
        <f t="shared" ref="AB17" si="150">ROUNDDOWN(AB16*10%,-1)</f>
        <v>0</v>
      </c>
      <c r="AC17" s="66">
        <f t="shared" ref="AC17" ca="1" si="151">IFERROR(IF(AND( OR(COUNTIF(I16:X17, "&gt;0")&gt;=$AJ$1, AA16&gt;=$AJ$4),AN16&lt;60,AA16&lt;=$AH$5),ROUNDDOWN(ROUNDDOWN(AA16,-3)*$AH$4%,-1),IF(AND(COUNTIF(I16:X17,"&gt;0")&gt;=$AJ$1,AN16&lt;60,AA16&gt;$AH$5),$AJ$5,0)),0)</f>
        <v>0</v>
      </c>
      <c r="AD17" s="67">
        <f t="shared" ref="AD17" si="152">IF(Z16&gt;=$AJ$1,ROUNDDOWN(AD16*$AH$3%/($AH$2*2%),-1),0)</f>
        <v>0</v>
      </c>
      <c r="AE17" s="112"/>
      <c r="AF17" s="112"/>
      <c r="AG17" s="116"/>
      <c r="AH17" s="116"/>
      <c r="AI17" s="116"/>
      <c r="AJ17" s="115"/>
      <c r="AK17" s="114"/>
      <c r="AL17" s="149"/>
      <c r="AM17" s="115"/>
      <c r="AN17" s="113"/>
      <c r="AO17" s="112"/>
      <c r="AP17" s="15">
        <f t="shared" ref="AP17" si="153">IF($H16*I17&gt;150000,ROUNDDOWN(($H16*I17-150000)*6%*45%,0),0)</f>
        <v>0</v>
      </c>
      <c r="AQ17" s="16">
        <f t="shared" ref="AQ17" si="154">IF($H16*J17&gt;150000,ROUNDDOWN(($H16*J17-150000)*6%*45%,0),0)</f>
        <v>0</v>
      </c>
      <c r="AR17" s="16">
        <f t="shared" ref="AR17" si="155">IF($H16*K17&gt;150000,ROUNDDOWN(($H16*K17-150000)*6%*45%,0),0)</f>
        <v>0</v>
      </c>
      <c r="AS17" s="16">
        <f t="shared" ref="AS17" si="156">IF($H16*L17&gt;150000,ROUNDDOWN(($H16*L17-150000)*6%*45%,0),0)</f>
        <v>0</v>
      </c>
      <c r="AT17" s="16">
        <f t="shared" ref="AT17" si="157">IF($H16*M17&gt;150000,ROUNDDOWN(($H16*M17-150000)*6%*45%,0),0)</f>
        <v>0</v>
      </c>
      <c r="AU17" s="16">
        <f t="shared" ref="AU17" si="158">IF($H16*N17&gt;150000,ROUNDDOWN(($H16*N17-150000)*6%*45%,0),0)</f>
        <v>0</v>
      </c>
      <c r="AV17" s="16">
        <f t="shared" ref="AV17" si="159">IF($H16*O17&gt;150000,ROUNDDOWN(($H16*O17-150000)*6%*45%,0),0)</f>
        <v>0</v>
      </c>
      <c r="AW17" s="16">
        <f t="shared" ref="AW17" si="160">IF($H16*P17&gt;150000,ROUNDDOWN(($H16*P17-150000)*6%*45%,0),0)</f>
        <v>0</v>
      </c>
      <c r="AX17" s="16">
        <f t="shared" ref="AX17" si="161">IF($H16*Q17&gt;150000,ROUNDDOWN(($H16*Q17-150000)*6%*45%,0),0)</f>
        <v>0</v>
      </c>
      <c r="AY17" s="16">
        <f t="shared" ref="AY17" si="162">IF($H16*R17&gt;150000,ROUNDDOWN(($H16*R17-150000)*6%*45%,0),0)</f>
        <v>0</v>
      </c>
      <c r="AZ17" s="16">
        <f t="shared" ref="AZ17" si="163">IF($H16*S17&gt;150000,ROUNDDOWN(($H16*S17-150000)*6%*45%,0),0)</f>
        <v>0</v>
      </c>
      <c r="BA17" s="16">
        <f t="shared" ref="BA17" si="164">IF($H16*T17&gt;150000,ROUNDDOWN(($H16*T17-150000)*6%*45%,0),0)</f>
        <v>0</v>
      </c>
      <c r="BB17" s="16">
        <f t="shared" ref="BB17" si="165">IF($H16*U17&gt;150000,ROUNDDOWN(($H16*U17-150000)*6%*45%,0),0)</f>
        <v>0</v>
      </c>
      <c r="BC17" s="16">
        <f t="shared" ref="BC17" si="166">IF($H16*V17&gt;150000,ROUNDDOWN(($H16*V17-150000)*6%*45%,0),0)</f>
        <v>0</v>
      </c>
      <c r="BD17" s="16">
        <f t="shared" ref="BD17" si="167">IF($H16*W17&gt;150000,ROUNDDOWN(($H16*W17-150000)*6%*45%,0),0)</f>
        <v>0</v>
      </c>
      <c r="BE17" s="17">
        <f t="shared" ref="BE17" si="168">IF($H16*X17&gt;150000,ROUNDDOWN(($H16*X17-150000)*6%*45%,0),0)</f>
        <v>0</v>
      </c>
      <c r="BF17" s="28"/>
    </row>
    <row r="18" spans="1:58" x14ac:dyDescent="0.3">
      <c r="A18" s="142">
        <v>6</v>
      </c>
      <c r="B18" s="116" t="str">
        <f t="shared" ref="B18" si="169">IF(LEN(D18)&gt;1,IF(VALUE(MID(RIGHT(D18,7),1,1))&gt;4,"외국인",IF(VALUE(RIGHT(11-MOD((MID(D18,1,1)*2+MID(D18,2,1)*3+MID(D18,3,1)*4+MID(D18,4,1)*5+MID(D18,5,1)*6+MID(D18,6,1)*7+MID(RIGHT(D18,7),1,1)*8+MID(RIGHT(D18,7),2,1)*9+MID(RIGHT(D18,7),3,1)*2+MID(RIGHT(D18,7),4,1)*3+MID(RIGHT(D18,7),5,1)*4+MID(RIGHT(D18,7),6,1)*5),11),1))=VALUE(RIGHT(D18,1)),"","오류")),"")</f>
        <v/>
      </c>
      <c r="C18" s="116"/>
      <c r="D18" s="143"/>
      <c r="E18" s="116"/>
      <c r="F18" s="116"/>
      <c r="G18" s="144"/>
      <c r="H18" s="112"/>
      <c r="I18" s="38"/>
      <c r="J18" s="39"/>
      <c r="K18" s="39"/>
      <c r="L18" s="39"/>
      <c r="M18" s="39"/>
      <c r="N18" s="39"/>
      <c r="O18" s="39"/>
      <c r="P18" s="39"/>
      <c r="Q18" s="39"/>
      <c r="R18" s="39"/>
      <c r="S18" s="40"/>
      <c r="T18" s="40"/>
      <c r="U18" s="39"/>
      <c r="V18" s="39"/>
      <c r="W18" s="41"/>
      <c r="X18" s="42"/>
      <c r="Y18" s="145">
        <f>SUM(I18:X19)</f>
        <v>0</v>
      </c>
      <c r="Z18" s="116">
        <f>COUNTIF(I18:X19,"&gt;0")</f>
        <v>0</v>
      </c>
      <c r="AA18" s="112">
        <f t="shared" ref="AA18" si="170">H18*Y18</f>
        <v>0</v>
      </c>
      <c r="AB18" s="62">
        <f t="shared" ref="AB18" si="171">IF(AO18&lt;1000, 0, AO18)</f>
        <v>0</v>
      </c>
      <c r="AC18" s="63">
        <f ca="1">IF(IFERROR($AN18&lt;65,FALSE), IF(B18&lt;&gt;"외국인", ROUNDDOWN(AA18*$AH$1%,-1), IF(AND(AM18&lt;&gt;"", ISNUMBER(SEARCH(LEFT(SUBSTITUTE(AM18, "-",""),2), "F2_F5_F6"))), ROUNDDOWN(AA18*$AH$1%,-1), 0)),0)</f>
        <v>0</v>
      </c>
      <c r="AD18" s="64">
        <f t="shared" ref="AD18" si="172">IF(Z18&gt;=$AJ$1,ROUNDDOWN(AA18*$AH$2%,-1),0)</f>
        <v>0</v>
      </c>
      <c r="AE18" s="112">
        <f t="shared" ref="AE18" ca="1" si="173">AB18+AC18+AB19+AC19+AD18+AD19</f>
        <v>0</v>
      </c>
      <c r="AF18" s="112">
        <f t="shared" ref="AF18" ca="1" si="174">AA18-AE18</f>
        <v>0</v>
      </c>
      <c r="AG18" s="116"/>
      <c r="AH18" s="116"/>
      <c r="AI18" s="116"/>
      <c r="AJ18" s="115"/>
      <c r="AK18" s="114"/>
      <c r="AL18" s="149"/>
      <c r="AM18" s="115"/>
      <c r="AN18" s="113" t="str">
        <f t="shared" ref="AN18" ca="1" si="175">IFERROR(DATEDIF(DATE(IF(ISNUMBER(FIND(MID( SUBSTITUTE(D18, "-",""), 7, 1), "3478")), 2000, 1900)+MID(D18,1,2), MID(D18,3,2), MID(D18,5,2)), TODAY(), "Y"),"")</f>
        <v/>
      </c>
      <c r="AO18" s="112">
        <f>ROUNDDOWN(SUM(AP18:BE19),-1)</f>
        <v>0</v>
      </c>
      <c r="AP18" s="11">
        <f t="shared" ref="AP18" si="176">IF($H18*I18&gt;150000,ROUNDDOWN(($H18*I18-150000)*6%*45%,0),0)</f>
        <v>0</v>
      </c>
      <c r="AQ18" s="12">
        <f t="shared" ref="AQ18" si="177">IF($H18*J18&gt;150000,ROUNDDOWN(($H18*J18-150000)*6%*45%,0),0)</f>
        <v>0</v>
      </c>
      <c r="AR18" s="12">
        <f t="shared" ref="AR18" si="178">IF($H18*K18&gt;150000,ROUNDDOWN(($H18*K18-150000)*6%*45%,0),0)</f>
        <v>0</v>
      </c>
      <c r="AS18" s="12">
        <f t="shared" ref="AS18" si="179">IF($H18*L18&gt;150000,ROUNDDOWN(($H18*L18-150000)*6%*45%,0),0)</f>
        <v>0</v>
      </c>
      <c r="AT18" s="12">
        <f t="shared" ref="AT18" si="180">IF($H18*M18&gt;150000,ROUNDDOWN(($H18*M18-150000)*6%*45%,0),0)</f>
        <v>0</v>
      </c>
      <c r="AU18" s="12">
        <f t="shared" ref="AU18" si="181">IF($H18*N18&gt;150000,ROUNDDOWN(($H18*N18-150000)*6%*45%,0),0)</f>
        <v>0</v>
      </c>
      <c r="AV18" s="12">
        <f t="shared" ref="AV18" si="182">IF($H18*O18&gt;150000,ROUNDDOWN(($H18*O18-150000)*6%*45%,0),0)</f>
        <v>0</v>
      </c>
      <c r="AW18" s="12">
        <f t="shared" ref="AW18" si="183">IF($H18*P18&gt;150000,ROUNDDOWN(($H18*P18-150000)*6%*45%,0),0)</f>
        <v>0</v>
      </c>
      <c r="AX18" s="12">
        <f t="shared" ref="AX18" si="184">IF($H18*Q18&gt;150000,ROUNDDOWN(($H18*Q18-150000)*6%*45%,0),0)</f>
        <v>0</v>
      </c>
      <c r="AY18" s="12">
        <f t="shared" ref="AY18" si="185">IF($H18*R18&gt;150000,ROUNDDOWN(($H18*R18-150000)*6%*45%,0),0)</f>
        <v>0</v>
      </c>
      <c r="AZ18" s="12">
        <f t="shared" ref="AZ18" si="186">IF($H18*S18&gt;150000,ROUNDDOWN(($H18*S18-150000)*6%*45%,0),0)</f>
        <v>0</v>
      </c>
      <c r="BA18" s="12">
        <f t="shared" ref="BA18" si="187">IF($H18*T18&gt;150000,ROUNDDOWN(($H18*T18-150000)*6%*45%,0),0)</f>
        <v>0</v>
      </c>
      <c r="BB18" s="12">
        <f t="shared" ref="BB18" si="188">IF($H18*U18&gt;150000,ROUNDDOWN(($H18*U18-150000)*6%*45%,0),0)</f>
        <v>0</v>
      </c>
      <c r="BC18" s="12">
        <f t="shared" ref="BC18" si="189">IF($H18*V18&gt;150000,ROUNDDOWN(($H18*V18-150000)*6%*45%,0),0)</f>
        <v>0</v>
      </c>
      <c r="BD18" s="13">
        <f t="shared" ref="BD18" si="190">IF($H18*W18&gt;150000,ROUNDDOWN(($H18*W18-150000)*6%*45%,0),0)</f>
        <v>0</v>
      </c>
      <c r="BE18" s="14"/>
    </row>
    <row r="19" spans="1:58" x14ac:dyDescent="0.3">
      <c r="A19" s="142"/>
      <c r="B19" s="116"/>
      <c r="C19" s="116"/>
      <c r="D19" s="143"/>
      <c r="E19" s="116"/>
      <c r="F19" s="116"/>
      <c r="G19" s="144"/>
      <c r="H19" s="112"/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5"/>
      <c r="Y19" s="145"/>
      <c r="Z19" s="116"/>
      <c r="AA19" s="112"/>
      <c r="AB19" s="65">
        <f t="shared" ref="AB19" si="191">ROUNDDOWN(AB18*10%,-1)</f>
        <v>0</v>
      </c>
      <c r="AC19" s="66">
        <f t="shared" ref="AC19" ca="1" si="192">IFERROR(IF(AND( OR(COUNTIF(I18:X19, "&gt;0")&gt;=$AJ$1, AA18&gt;=$AJ$4),AN18&lt;60,AA18&lt;=$AH$5),ROUNDDOWN(ROUNDDOWN(AA18,-3)*$AH$4%,-1),IF(AND(COUNTIF(I18:X19,"&gt;0")&gt;=$AJ$1,AN18&lt;60,AA18&gt;$AH$5),$AJ$5,0)),0)</f>
        <v>0</v>
      </c>
      <c r="AD19" s="67">
        <f t="shared" ref="AD19" si="193">IF(Z18&gt;=$AJ$1,ROUNDDOWN(AD18*$AH$3%/($AH$2*2%),-1),0)</f>
        <v>0</v>
      </c>
      <c r="AE19" s="112"/>
      <c r="AF19" s="112"/>
      <c r="AG19" s="116"/>
      <c r="AH19" s="116"/>
      <c r="AI19" s="116"/>
      <c r="AJ19" s="115"/>
      <c r="AK19" s="114"/>
      <c r="AL19" s="149"/>
      <c r="AM19" s="115"/>
      <c r="AN19" s="113"/>
      <c r="AO19" s="112"/>
      <c r="AP19" s="15">
        <f t="shared" ref="AP19" si="194">IF($H18*I19&gt;150000,ROUNDDOWN(($H18*I19-150000)*6%*45%,0),0)</f>
        <v>0</v>
      </c>
      <c r="AQ19" s="16">
        <f t="shared" ref="AQ19" si="195">IF($H18*J19&gt;150000,ROUNDDOWN(($H18*J19-150000)*6%*45%,0),0)</f>
        <v>0</v>
      </c>
      <c r="AR19" s="16">
        <f t="shared" ref="AR19" si="196">IF($H18*K19&gt;150000,ROUNDDOWN(($H18*K19-150000)*6%*45%,0),0)</f>
        <v>0</v>
      </c>
      <c r="AS19" s="16">
        <f t="shared" ref="AS19" si="197">IF($H18*L19&gt;150000,ROUNDDOWN(($H18*L19-150000)*6%*45%,0),0)</f>
        <v>0</v>
      </c>
      <c r="AT19" s="16">
        <f t="shared" ref="AT19" si="198">IF($H18*M19&gt;150000,ROUNDDOWN(($H18*M19-150000)*6%*45%,0),0)</f>
        <v>0</v>
      </c>
      <c r="AU19" s="16">
        <f t="shared" ref="AU19" si="199">IF($H18*N19&gt;150000,ROUNDDOWN(($H18*N19-150000)*6%*45%,0),0)</f>
        <v>0</v>
      </c>
      <c r="AV19" s="16">
        <f t="shared" ref="AV19" si="200">IF($H18*O19&gt;150000,ROUNDDOWN(($H18*O19-150000)*6%*45%,0),0)</f>
        <v>0</v>
      </c>
      <c r="AW19" s="16">
        <f t="shared" ref="AW19" si="201">IF($H18*P19&gt;150000,ROUNDDOWN(($H18*P19-150000)*6%*45%,0),0)</f>
        <v>0</v>
      </c>
      <c r="AX19" s="16">
        <f t="shared" ref="AX19" si="202">IF($H18*Q19&gt;150000,ROUNDDOWN(($H18*Q19-150000)*6%*45%,0),0)</f>
        <v>0</v>
      </c>
      <c r="AY19" s="16">
        <f t="shared" ref="AY19" si="203">IF($H18*R19&gt;150000,ROUNDDOWN(($H18*R19-150000)*6%*45%,0),0)</f>
        <v>0</v>
      </c>
      <c r="AZ19" s="16">
        <f t="shared" ref="AZ19" si="204">IF($H18*S19&gt;150000,ROUNDDOWN(($H18*S19-150000)*6%*45%,0),0)</f>
        <v>0</v>
      </c>
      <c r="BA19" s="16">
        <f t="shared" ref="BA19" si="205">IF($H18*T19&gt;150000,ROUNDDOWN(($H18*T19-150000)*6%*45%,0),0)</f>
        <v>0</v>
      </c>
      <c r="BB19" s="16">
        <f t="shared" ref="BB19" si="206">IF($H18*U19&gt;150000,ROUNDDOWN(($H18*U19-150000)*6%*45%,0),0)</f>
        <v>0</v>
      </c>
      <c r="BC19" s="16">
        <f t="shared" ref="BC19" si="207">IF($H18*V19&gt;150000,ROUNDDOWN(($H18*V19-150000)*6%*45%,0),0)</f>
        <v>0</v>
      </c>
      <c r="BD19" s="16">
        <f t="shared" ref="BD19" si="208">IF($H18*W19&gt;150000,ROUNDDOWN(($H18*W19-150000)*6%*45%,0),0)</f>
        <v>0</v>
      </c>
      <c r="BE19" s="17">
        <f t="shared" ref="BE19" si="209">IF($H18*X19&gt;150000,ROUNDDOWN(($H18*X19-150000)*6%*45%,0),0)</f>
        <v>0</v>
      </c>
      <c r="BF19" s="28"/>
    </row>
    <row r="20" spans="1:58" x14ac:dyDescent="0.3">
      <c r="A20" s="142">
        <v>7</v>
      </c>
      <c r="B20" s="116" t="str">
        <f t="shared" ref="B20" si="210">IF(LEN(D20)&gt;1,IF(VALUE(MID(RIGHT(D20,7),1,1))&gt;4,"외국인",IF(VALUE(RIGHT(11-MOD((MID(D20,1,1)*2+MID(D20,2,1)*3+MID(D20,3,1)*4+MID(D20,4,1)*5+MID(D20,5,1)*6+MID(D20,6,1)*7+MID(RIGHT(D20,7),1,1)*8+MID(RIGHT(D20,7),2,1)*9+MID(RIGHT(D20,7),3,1)*2+MID(RIGHT(D20,7),4,1)*3+MID(RIGHT(D20,7),5,1)*4+MID(RIGHT(D20,7),6,1)*5),11),1))=VALUE(RIGHT(D20,1)),"","오류")),"")</f>
        <v/>
      </c>
      <c r="C20" s="116"/>
      <c r="D20" s="143"/>
      <c r="E20" s="116"/>
      <c r="F20" s="116"/>
      <c r="G20" s="144"/>
      <c r="H20" s="112"/>
      <c r="I20" s="38"/>
      <c r="J20" s="39"/>
      <c r="K20" s="39"/>
      <c r="L20" s="39"/>
      <c r="M20" s="39"/>
      <c r="N20" s="39"/>
      <c r="O20" s="39"/>
      <c r="P20" s="39"/>
      <c r="Q20" s="39"/>
      <c r="R20" s="39"/>
      <c r="S20" s="40"/>
      <c r="T20" s="40"/>
      <c r="U20" s="39"/>
      <c r="V20" s="39"/>
      <c r="W20" s="41"/>
      <c r="X20" s="42"/>
      <c r="Y20" s="145">
        <f>SUM(I20:X21)</f>
        <v>0</v>
      </c>
      <c r="Z20" s="116">
        <f>COUNTIF(I20:X21,"&gt;0")</f>
        <v>0</v>
      </c>
      <c r="AA20" s="112">
        <f t="shared" ref="AA20" si="211">H20*Y20</f>
        <v>0</v>
      </c>
      <c r="AB20" s="62">
        <f t="shared" ref="AB20" si="212">IF(AO20&lt;1000, 0, AO20)</f>
        <v>0</v>
      </c>
      <c r="AC20" s="63">
        <f ca="1">IF(IFERROR($AN20&lt;65,FALSE), IF(B20&lt;&gt;"외국인", ROUNDDOWN(AA20*$AH$1%,-1), IF(AND(AM20&lt;&gt;"", ISNUMBER(SEARCH(LEFT(SUBSTITUTE(AM20, "-",""),2), "F2_F5_F6"))), ROUNDDOWN(AA20*$AH$1%,-1), 0)),0)</f>
        <v>0</v>
      </c>
      <c r="AD20" s="64">
        <f t="shared" ref="AD20" si="213">IF(Z20&gt;=$AJ$1,ROUNDDOWN(AA20*$AH$2%,-1),0)</f>
        <v>0</v>
      </c>
      <c r="AE20" s="112">
        <f t="shared" ref="AE20" ca="1" si="214">AB20+AC20+AB21+AC21+AD20+AD21</f>
        <v>0</v>
      </c>
      <c r="AF20" s="112">
        <f t="shared" ref="AF20" ca="1" si="215">AA20-AE20</f>
        <v>0</v>
      </c>
      <c r="AG20" s="116"/>
      <c r="AH20" s="116"/>
      <c r="AI20" s="116"/>
      <c r="AJ20" s="115"/>
      <c r="AK20" s="114"/>
      <c r="AL20" s="149"/>
      <c r="AM20" s="115"/>
      <c r="AN20" s="113" t="str">
        <f t="shared" ref="AN20" ca="1" si="216">IFERROR(DATEDIF(DATE(IF(ISNUMBER(FIND(MID( SUBSTITUTE(D20, "-",""), 7, 1), "3478")), 2000, 1900)+MID(D20,1,2), MID(D20,3,2), MID(D20,5,2)), TODAY(), "Y"),"")</f>
        <v/>
      </c>
      <c r="AO20" s="112">
        <f>ROUNDDOWN(SUM(AP20:BE21),-1)</f>
        <v>0</v>
      </c>
      <c r="AP20" s="11">
        <f t="shared" ref="AP20" si="217">IF($H20*I20&gt;150000,ROUNDDOWN(($H20*I20-150000)*6%*45%,0),0)</f>
        <v>0</v>
      </c>
      <c r="AQ20" s="12">
        <f t="shared" ref="AQ20" si="218">IF($H20*J20&gt;150000,ROUNDDOWN(($H20*J20-150000)*6%*45%,0),0)</f>
        <v>0</v>
      </c>
      <c r="AR20" s="12">
        <f t="shared" ref="AR20" si="219">IF($H20*K20&gt;150000,ROUNDDOWN(($H20*K20-150000)*6%*45%,0),0)</f>
        <v>0</v>
      </c>
      <c r="AS20" s="12">
        <f t="shared" ref="AS20" si="220">IF($H20*L20&gt;150000,ROUNDDOWN(($H20*L20-150000)*6%*45%,0),0)</f>
        <v>0</v>
      </c>
      <c r="AT20" s="12">
        <f t="shared" ref="AT20" si="221">IF($H20*M20&gt;150000,ROUNDDOWN(($H20*M20-150000)*6%*45%,0),0)</f>
        <v>0</v>
      </c>
      <c r="AU20" s="12">
        <f t="shared" ref="AU20" si="222">IF($H20*N20&gt;150000,ROUNDDOWN(($H20*N20-150000)*6%*45%,0),0)</f>
        <v>0</v>
      </c>
      <c r="AV20" s="12">
        <f t="shared" ref="AV20" si="223">IF($H20*O20&gt;150000,ROUNDDOWN(($H20*O20-150000)*6%*45%,0),0)</f>
        <v>0</v>
      </c>
      <c r="AW20" s="12">
        <f t="shared" ref="AW20" si="224">IF($H20*P20&gt;150000,ROUNDDOWN(($H20*P20-150000)*6%*45%,0),0)</f>
        <v>0</v>
      </c>
      <c r="AX20" s="12">
        <f t="shared" ref="AX20" si="225">IF($H20*Q20&gt;150000,ROUNDDOWN(($H20*Q20-150000)*6%*45%,0),0)</f>
        <v>0</v>
      </c>
      <c r="AY20" s="12">
        <f t="shared" ref="AY20" si="226">IF($H20*R20&gt;150000,ROUNDDOWN(($H20*R20-150000)*6%*45%,0),0)</f>
        <v>0</v>
      </c>
      <c r="AZ20" s="12">
        <f t="shared" ref="AZ20" si="227">IF($H20*S20&gt;150000,ROUNDDOWN(($H20*S20-150000)*6%*45%,0),0)</f>
        <v>0</v>
      </c>
      <c r="BA20" s="12">
        <f t="shared" ref="BA20" si="228">IF($H20*T20&gt;150000,ROUNDDOWN(($H20*T20-150000)*6%*45%,0),0)</f>
        <v>0</v>
      </c>
      <c r="BB20" s="12">
        <f t="shared" ref="BB20" si="229">IF($H20*U20&gt;150000,ROUNDDOWN(($H20*U20-150000)*6%*45%,0),0)</f>
        <v>0</v>
      </c>
      <c r="BC20" s="12">
        <f t="shared" ref="BC20" si="230">IF($H20*V20&gt;150000,ROUNDDOWN(($H20*V20-150000)*6%*45%,0),0)</f>
        <v>0</v>
      </c>
      <c r="BD20" s="13">
        <f t="shared" ref="BD20" si="231">IF($H20*W20&gt;150000,ROUNDDOWN(($H20*W20-150000)*6%*45%,0),0)</f>
        <v>0</v>
      </c>
      <c r="BE20" s="14"/>
    </row>
    <row r="21" spans="1:58" x14ac:dyDescent="0.3">
      <c r="A21" s="142"/>
      <c r="B21" s="116"/>
      <c r="C21" s="116"/>
      <c r="D21" s="143"/>
      <c r="E21" s="116"/>
      <c r="F21" s="116"/>
      <c r="G21" s="144"/>
      <c r="H21" s="112"/>
      <c r="I21" s="43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5"/>
      <c r="Y21" s="145"/>
      <c r="Z21" s="116"/>
      <c r="AA21" s="112"/>
      <c r="AB21" s="65">
        <f t="shared" ref="AB21" si="232">ROUNDDOWN(AB20*10%,-1)</f>
        <v>0</v>
      </c>
      <c r="AC21" s="66">
        <f t="shared" ref="AC21" ca="1" si="233">IFERROR(IF(AND( OR(COUNTIF(I20:X21, "&gt;0")&gt;=$AJ$1, AA20&gt;=$AJ$4),AN20&lt;60,AA20&lt;=$AH$5),ROUNDDOWN(ROUNDDOWN(AA20,-3)*$AH$4%,-1),IF(AND(COUNTIF(I20:X21,"&gt;0")&gt;=$AJ$1,AN20&lt;60,AA20&gt;$AH$5),$AJ$5,0)),0)</f>
        <v>0</v>
      </c>
      <c r="AD21" s="67">
        <f t="shared" ref="AD21" si="234">IF(Z20&gt;=$AJ$1,ROUNDDOWN(AD20*$AH$3%/($AH$2*2%),-1),0)</f>
        <v>0</v>
      </c>
      <c r="AE21" s="112"/>
      <c r="AF21" s="112"/>
      <c r="AG21" s="116"/>
      <c r="AH21" s="116"/>
      <c r="AI21" s="116"/>
      <c r="AJ21" s="115"/>
      <c r="AK21" s="114"/>
      <c r="AL21" s="149"/>
      <c r="AM21" s="115"/>
      <c r="AN21" s="113"/>
      <c r="AO21" s="112"/>
      <c r="AP21" s="15">
        <f t="shared" ref="AP21" si="235">IF($H20*I21&gt;150000,ROUNDDOWN(($H20*I21-150000)*6%*45%,0),0)</f>
        <v>0</v>
      </c>
      <c r="AQ21" s="16">
        <f t="shared" ref="AQ21" si="236">IF($H20*J21&gt;150000,ROUNDDOWN(($H20*J21-150000)*6%*45%,0),0)</f>
        <v>0</v>
      </c>
      <c r="AR21" s="16">
        <f t="shared" ref="AR21" si="237">IF($H20*K21&gt;150000,ROUNDDOWN(($H20*K21-150000)*6%*45%,0),0)</f>
        <v>0</v>
      </c>
      <c r="AS21" s="16">
        <f t="shared" ref="AS21" si="238">IF($H20*L21&gt;150000,ROUNDDOWN(($H20*L21-150000)*6%*45%,0),0)</f>
        <v>0</v>
      </c>
      <c r="AT21" s="16">
        <f t="shared" ref="AT21" si="239">IF($H20*M21&gt;150000,ROUNDDOWN(($H20*M21-150000)*6%*45%,0),0)</f>
        <v>0</v>
      </c>
      <c r="AU21" s="16">
        <f t="shared" ref="AU21" si="240">IF($H20*N21&gt;150000,ROUNDDOWN(($H20*N21-150000)*6%*45%,0),0)</f>
        <v>0</v>
      </c>
      <c r="AV21" s="16">
        <f t="shared" ref="AV21" si="241">IF($H20*O21&gt;150000,ROUNDDOWN(($H20*O21-150000)*6%*45%,0),0)</f>
        <v>0</v>
      </c>
      <c r="AW21" s="16">
        <f t="shared" ref="AW21" si="242">IF($H20*P21&gt;150000,ROUNDDOWN(($H20*P21-150000)*6%*45%,0),0)</f>
        <v>0</v>
      </c>
      <c r="AX21" s="16">
        <f t="shared" ref="AX21" si="243">IF($H20*Q21&gt;150000,ROUNDDOWN(($H20*Q21-150000)*6%*45%,0),0)</f>
        <v>0</v>
      </c>
      <c r="AY21" s="16">
        <f t="shared" ref="AY21" si="244">IF($H20*R21&gt;150000,ROUNDDOWN(($H20*R21-150000)*6%*45%,0),0)</f>
        <v>0</v>
      </c>
      <c r="AZ21" s="16">
        <f t="shared" ref="AZ21" si="245">IF($H20*S21&gt;150000,ROUNDDOWN(($H20*S21-150000)*6%*45%,0),0)</f>
        <v>0</v>
      </c>
      <c r="BA21" s="16">
        <f t="shared" ref="BA21" si="246">IF($H20*T21&gt;150000,ROUNDDOWN(($H20*T21-150000)*6%*45%,0),0)</f>
        <v>0</v>
      </c>
      <c r="BB21" s="16">
        <f t="shared" ref="BB21" si="247">IF($H20*U21&gt;150000,ROUNDDOWN(($H20*U21-150000)*6%*45%,0),0)</f>
        <v>0</v>
      </c>
      <c r="BC21" s="16">
        <f t="shared" ref="BC21" si="248">IF($H20*V21&gt;150000,ROUNDDOWN(($H20*V21-150000)*6%*45%,0),0)</f>
        <v>0</v>
      </c>
      <c r="BD21" s="16">
        <f t="shared" ref="BD21" si="249">IF($H20*W21&gt;150000,ROUNDDOWN(($H20*W21-150000)*6%*45%,0),0)</f>
        <v>0</v>
      </c>
      <c r="BE21" s="17">
        <f t="shared" ref="BE21" si="250">IF($H20*X21&gt;150000,ROUNDDOWN(($H20*X21-150000)*6%*45%,0),0)</f>
        <v>0</v>
      </c>
      <c r="BF21" s="28"/>
    </row>
    <row r="22" spans="1:58" x14ac:dyDescent="0.3">
      <c r="A22" s="142">
        <v>8</v>
      </c>
      <c r="B22" s="116" t="str">
        <f t="shared" ref="B22" si="251">IF(LEN(D22)&gt;1,IF(VALUE(MID(RIGHT(D22,7),1,1))&gt;4,"외국인",IF(VALUE(RIGHT(11-MOD((MID(D22,1,1)*2+MID(D22,2,1)*3+MID(D22,3,1)*4+MID(D22,4,1)*5+MID(D22,5,1)*6+MID(D22,6,1)*7+MID(RIGHT(D22,7),1,1)*8+MID(RIGHT(D22,7),2,1)*9+MID(RIGHT(D22,7),3,1)*2+MID(RIGHT(D22,7),4,1)*3+MID(RIGHT(D22,7),5,1)*4+MID(RIGHT(D22,7),6,1)*5),11),1))=VALUE(RIGHT(D22,1)),"","오류")),"")</f>
        <v/>
      </c>
      <c r="C22" s="116"/>
      <c r="D22" s="143"/>
      <c r="E22" s="116"/>
      <c r="F22" s="116"/>
      <c r="G22" s="144"/>
      <c r="H22" s="112"/>
      <c r="I22" s="38"/>
      <c r="J22" s="39"/>
      <c r="K22" s="39"/>
      <c r="L22" s="39"/>
      <c r="M22" s="39"/>
      <c r="N22" s="39"/>
      <c r="O22" s="39"/>
      <c r="P22" s="39"/>
      <c r="Q22" s="39"/>
      <c r="R22" s="39"/>
      <c r="S22" s="40"/>
      <c r="T22" s="40"/>
      <c r="U22" s="39"/>
      <c r="V22" s="39"/>
      <c r="W22" s="41"/>
      <c r="X22" s="42"/>
      <c r="Y22" s="145">
        <f>SUM(I22:X23)</f>
        <v>0</v>
      </c>
      <c r="Z22" s="116">
        <f>COUNTIF(I22:X23,"&gt;0")</f>
        <v>0</v>
      </c>
      <c r="AA22" s="112">
        <f t="shared" ref="AA22" si="252">H22*Y22</f>
        <v>0</v>
      </c>
      <c r="AB22" s="62">
        <f t="shared" ref="AB22" si="253">IF(AO22&lt;1000, 0, AO22)</f>
        <v>0</v>
      </c>
      <c r="AC22" s="63">
        <f ca="1">IF(IFERROR($AN22&lt;65,FALSE), IF(B22&lt;&gt;"외국인", ROUNDDOWN(AA22*$AH$1%,-1), IF(AND(AM22&lt;&gt;"", ISNUMBER(SEARCH(LEFT(SUBSTITUTE(AM22, "-",""),2), "F2_F5_F6"))), ROUNDDOWN(AA22*$AH$1%,-1), 0)),0)</f>
        <v>0</v>
      </c>
      <c r="AD22" s="64">
        <f t="shared" ref="AD22" si="254">IF(Z22&gt;=$AJ$1,ROUNDDOWN(AA22*$AH$2%,-1),0)</f>
        <v>0</v>
      </c>
      <c r="AE22" s="112">
        <f t="shared" ref="AE22" ca="1" si="255">AB22+AC22+AB23+AC23+AD22+AD23</f>
        <v>0</v>
      </c>
      <c r="AF22" s="112">
        <f t="shared" ref="AF22" ca="1" si="256">AA22-AE22</f>
        <v>0</v>
      </c>
      <c r="AG22" s="116"/>
      <c r="AH22" s="116"/>
      <c r="AI22" s="116"/>
      <c r="AJ22" s="115"/>
      <c r="AK22" s="114"/>
      <c r="AL22" s="149"/>
      <c r="AM22" s="115"/>
      <c r="AN22" s="113" t="str">
        <f t="shared" ref="AN22" ca="1" si="257">IFERROR(DATEDIF(DATE(IF(ISNUMBER(FIND(MID( SUBSTITUTE(D22, "-",""), 7, 1), "3478")), 2000, 1900)+MID(D22,1,2), MID(D22,3,2), MID(D22,5,2)), TODAY(), "Y"),"")</f>
        <v/>
      </c>
      <c r="AO22" s="112">
        <f>ROUNDDOWN(SUM(AP22:BE23),-1)</f>
        <v>0</v>
      </c>
      <c r="AP22" s="11">
        <f t="shared" ref="AP22" si="258">IF($H22*I22&gt;150000,ROUNDDOWN(($H22*I22-150000)*6%*45%,0),0)</f>
        <v>0</v>
      </c>
      <c r="AQ22" s="12">
        <f t="shared" ref="AQ22" si="259">IF($H22*J22&gt;150000,ROUNDDOWN(($H22*J22-150000)*6%*45%,0),0)</f>
        <v>0</v>
      </c>
      <c r="AR22" s="12">
        <f t="shared" ref="AR22" si="260">IF($H22*K22&gt;150000,ROUNDDOWN(($H22*K22-150000)*6%*45%,0),0)</f>
        <v>0</v>
      </c>
      <c r="AS22" s="12">
        <f t="shared" ref="AS22" si="261">IF($H22*L22&gt;150000,ROUNDDOWN(($H22*L22-150000)*6%*45%,0),0)</f>
        <v>0</v>
      </c>
      <c r="AT22" s="12">
        <f t="shared" ref="AT22" si="262">IF($H22*M22&gt;150000,ROUNDDOWN(($H22*M22-150000)*6%*45%,0),0)</f>
        <v>0</v>
      </c>
      <c r="AU22" s="12">
        <f t="shared" ref="AU22" si="263">IF($H22*N22&gt;150000,ROUNDDOWN(($H22*N22-150000)*6%*45%,0),0)</f>
        <v>0</v>
      </c>
      <c r="AV22" s="12">
        <f t="shared" ref="AV22" si="264">IF($H22*O22&gt;150000,ROUNDDOWN(($H22*O22-150000)*6%*45%,0),0)</f>
        <v>0</v>
      </c>
      <c r="AW22" s="12">
        <f t="shared" ref="AW22" si="265">IF($H22*P22&gt;150000,ROUNDDOWN(($H22*P22-150000)*6%*45%,0),0)</f>
        <v>0</v>
      </c>
      <c r="AX22" s="12">
        <f t="shared" ref="AX22" si="266">IF($H22*Q22&gt;150000,ROUNDDOWN(($H22*Q22-150000)*6%*45%,0),0)</f>
        <v>0</v>
      </c>
      <c r="AY22" s="12">
        <f t="shared" ref="AY22" si="267">IF($H22*R22&gt;150000,ROUNDDOWN(($H22*R22-150000)*6%*45%,0),0)</f>
        <v>0</v>
      </c>
      <c r="AZ22" s="12">
        <f t="shared" ref="AZ22" si="268">IF($H22*S22&gt;150000,ROUNDDOWN(($H22*S22-150000)*6%*45%,0),0)</f>
        <v>0</v>
      </c>
      <c r="BA22" s="12">
        <f t="shared" ref="BA22" si="269">IF($H22*T22&gt;150000,ROUNDDOWN(($H22*T22-150000)*6%*45%,0),0)</f>
        <v>0</v>
      </c>
      <c r="BB22" s="12">
        <f t="shared" ref="BB22" si="270">IF($H22*U22&gt;150000,ROUNDDOWN(($H22*U22-150000)*6%*45%,0),0)</f>
        <v>0</v>
      </c>
      <c r="BC22" s="12">
        <f t="shared" ref="BC22" si="271">IF($H22*V22&gt;150000,ROUNDDOWN(($H22*V22-150000)*6%*45%,0),0)</f>
        <v>0</v>
      </c>
      <c r="BD22" s="13">
        <f t="shared" ref="BD22" si="272">IF($H22*W22&gt;150000,ROUNDDOWN(($H22*W22-150000)*6%*45%,0),0)</f>
        <v>0</v>
      </c>
      <c r="BE22" s="14"/>
    </row>
    <row r="23" spans="1:58" x14ac:dyDescent="0.3">
      <c r="A23" s="142"/>
      <c r="B23" s="116"/>
      <c r="C23" s="116"/>
      <c r="D23" s="143"/>
      <c r="E23" s="116"/>
      <c r="F23" s="116"/>
      <c r="G23" s="144"/>
      <c r="H23" s="112"/>
      <c r="I23" s="43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5"/>
      <c r="Y23" s="145"/>
      <c r="Z23" s="116"/>
      <c r="AA23" s="112"/>
      <c r="AB23" s="65">
        <f t="shared" ref="AB23" si="273">ROUNDDOWN(AB22*10%,-1)</f>
        <v>0</v>
      </c>
      <c r="AC23" s="66">
        <f t="shared" ref="AC23" ca="1" si="274">IFERROR(IF(AND( OR(COUNTIF(I22:X23, "&gt;0")&gt;=$AJ$1, AA22&gt;=$AJ$4),AN22&lt;60,AA22&lt;=$AH$5),ROUNDDOWN(ROUNDDOWN(AA22,-3)*$AH$4%,-1),IF(AND(COUNTIF(I22:X23,"&gt;0")&gt;=$AJ$1,AN22&lt;60,AA22&gt;$AH$5),$AJ$5,0)),0)</f>
        <v>0</v>
      </c>
      <c r="AD23" s="67">
        <f t="shared" ref="AD23" si="275">IF(Z22&gt;=$AJ$1,ROUNDDOWN(AD22*$AH$3%/($AH$2*2%),-1),0)</f>
        <v>0</v>
      </c>
      <c r="AE23" s="112"/>
      <c r="AF23" s="112"/>
      <c r="AG23" s="116"/>
      <c r="AH23" s="116"/>
      <c r="AI23" s="116"/>
      <c r="AJ23" s="115"/>
      <c r="AK23" s="114"/>
      <c r="AL23" s="149"/>
      <c r="AM23" s="115"/>
      <c r="AN23" s="113"/>
      <c r="AO23" s="112"/>
      <c r="AP23" s="15">
        <f t="shared" ref="AP23" si="276">IF($H22*I23&gt;150000,ROUNDDOWN(($H22*I23-150000)*6%*45%,0),0)</f>
        <v>0</v>
      </c>
      <c r="AQ23" s="16">
        <f t="shared" ref="AQ23" si="277">IF($H22*J23&gt;150000,ROUNDDOWN(($H22*J23-150000)*6%*45%,0),0)</f>
        <v>0</v>
      </c>
      <c r="AR23" s="16">
        <f t="shared" ref="AR23" si="278">IF($H22*K23&gt;150000,ROUNDDOWN(($H22*K23-150000)*6%*45%,0),0)</f>
        <v>0</v>
      </c>
      <c r="AS23" s="16">
        <f t="shared" ref="AS23" si="279">IF($H22*L23&gt;150000,ROUNDDOWN(($H22*L23-150000)*6%*45%,0),0)</f>
        <v>0</v>
      </c>
      <c r="AT23" s="16">
        <f t="shared" ref="AT23" si="280">IF($H22*M23&gt;150000,ROUNDDOWN(($H22*M23-150000)*6%*45%,0),0)</f>
        <v>0</v>
      </c>
      <c r="AU23" s="16">
        <f t="shared" ref="AU23" si="281">IF($H22*N23&gt;150000,ROUNDDOWN(($H22*N23-150000)*6%*45%,0),0)</f>
        <v>0</v>
      </c>
      <c r="AV23" s="16">
        <f t="shared" ref="AV23" si="282">IF($H22*O23&gt;150000,ROUNDDOWN(($H22*O23-150000)*6%*45%,0),0)</f>
        <v>0</v>
      </c>
      <c r="AW23" s="16">
        <f t="shared" ref="AW23" si="283">IF($H22*P23&gt;150000,ROUNDDOWN(($H22*P23-150000)*6%*45%,0),0)</f>
        <v>0</v>
      </c>
      <c r="AX23" s="16">
        <f t="shared" ref="AX23" si="284">IF($H22*Q23&gt;150000,ROUNDDOWN(($H22*Q23-150000)*6%*45%,0),0)</f>
        <v>0</v>
      </c>
      <c r="AY23" s="16">
        <f t="shared" ref="AY23" si="285">IF($H22*R23&gt;150000,ROUNDDOWN(($H22*R23-150000)*6%*45%,0),0)</f>
        <v>0</v>
      </c>
      <c r="AZ23" s="16">
        <f t="shared" ref="AZ23" si="286">IF($H22*S23&gt;150000,ROUNDDOWN(($H22*S23-150000)*6%*45%,0),0)</f>
        <v>0</v>
      </c>
      <c r="BA23" s="16">
        <f t="shared" ref="BA23" si="287">IF($H22*T23&gt;150000,ROUNDDOWN(($H22*T23-150000)*6%*45%,0),0)</f>
        <v>0</v>
      </c>
      <c r="BB23" s="16">
        <f t="shared" ref="BB23" si="288">IF($H22*U23&gt;150000,ROUNDDOWN(($H22*U23-150000)*6%*45%,0),0)</f>
        <v>0</v>
      </c>
      <c r="BC23" s="16">
        <f t="shared" ref="BC23" si="289">IF($H22*V23&gt;150000,ROUNDDOWN(($H22*V23-150000)*6%*45%,0),0)</f>
        <v>0</v>
      </c>
      <c r="BD23" s="16">
        <f t="shared" ref="BD23" si="290">IF($H22*W23&gt;150000,ROUNDDOWN(($H22*W23-150000)*6%*45%,0),0)</f>
        <v>0</v>
      </c>
      <c r="BE23" s="17">
        <f t="shared" ref="BE23" si="291">IF($H22*X23&gt;150000,ROUNDDOWN(($H22*X23-150000)*6%*45%,0),0)</f>
        <v>0</v>
      </c>
      <c r="BF23" s="28"/>
    </row>
    <row r="24" spans="1:58" x14ac:dyDescent="0.3">
      <c r="A24" s="142">
        <v>9</v>
      </c>
      <c r="B24" s="116" t="str">
        <f t="shared" ref="B24" si="292">IF(LEN(D24)&gt;1,IF(VALUE(MID(RIGHT(D24,7),1,1))&gt;4,"외국인",IF(VALUE(RIGHT(11-MOD((MID(D24,1,1)*2+MID(D24,2,1)*3+MID(D24,3,1)*4+MID(D24,4,1)*5+MID(D24,5,1)*6+MID(D24,6,1)*7+MID(RIGHT(D24,7),1,1)*8+MID(RIGHT(D24,7),2,1)*9+MID(RIGHT(D24,7),3,1)*2+MID(RIGHT(D24,7),4,1)*3+MID(RIGHT(D24,7),5,1)*4+MID(RIGHT(D24,7),6,1)*5),11),1))=VALUE(RIGHT(D24,1)),"","오류")),"")</f>
        <v/>
      </c>
      <c r="C24" s="116"/>
      <c r="D24" s="143"/>
      <c r="E24" s="116"/>
      <c r="F24" s="116"/>
      <c r="G24" s="144"/>
      <c r="H24" s="112"/>
      <c r="I24" s="38"/>
      <c r="J24" s="39"/>
      <c r="K24" s="39"/>
      <c r="L24" s="39"/>
      <c r="M24" s="39"/>
      <c r="N24" s="39"/>
      <c r="O24" s="39"/>
      <c r="P24" s="39"/>
      <c r="Q24" s="39"/>
      <c r="R24" s="39"/>
      <c r="S24" s="40"/>
      <c r="T24" s="40"/>
      <c r="U24" s="39"/>
      <c r="V24" s="39"/>
      <c r="W24" s="41"/>
      <c r="X24" s="42"/>
      <c r="Y24" s="145">
        <f>SUM(I24:X25)</f>
        <v>0</v>
      </c>
      <c r="Z24" s="116">
        <f>COUNTIF(I24:X25,"&gt;0")</f>
        <v>0</v>
      </c>
      <c r="AA24" s="112">
        <f t="shared" ref="AA24" si="293">H24*Y24</f>
        <v>0</v>
      </c>
      <c r="AB24" s="62">
        <f t="shared" ref="AB24" si="294">IF(AO24&lt;1000, 0, AO24)</f>
        <v>0</v>
      </c>
      <c r="AC24" s="63">
        <f ca="1">IF(IFERROR($AN24&lt;65,FALSE), IF(B24&lt;&gt;"외국인", ROUNDDOWN(AA24*$AH$1%,-1), IF(AND(AM24&lt;&gt;"", ISNUMBER(SEARCH(LEFT(SUBSTITUTE(AM24, "-",""),2), "F2_F5_F6"))), ROUNDDOWN(AA24*$AH$1%,-1), 0)),0)</f>
        <v>0</v>
      </c>
      <c r="AD24" s="64">
        <f t="shared" ref="AD24" si="295">IF(Z24&gt;=$AJ$1,ROUNDDOWN(AA24*$AH$2%,-1),0)</f>
        <v>0</v>
      </c>
      <c r="AE24" s="112">
        <f t="shared" ref="AE24" ca="1" si="296">AB24+AC24+AB25+AC25+AD24+AD25</f>
        <v>0</v>
      </c>
      <c r="AF24" s="112">
        <f t="shared" ref="AF24" ca="1" si="297">AA24-AE24</f>
        <v>0</v>
      </c>
      <c r="AG24" s="116"/>
      <c r="AH24" s="116"/>
      <c r="AI24" s="116"/>
      <c r="AJ24" s="115"/>
      <c r="AK24" s="114"/>
      <c r="AL24" s="149"/>
      <c r="AM24" s="115"/>
      <c r="AN24" s="113" t="str">
        <f t="shared" ref="AN24" ca="1" si="298">IFERROR(DATEDIF(DATE(IF(ISNUMBER(FIND(MID( SUBSTITUTE(D24, "-",""), 7, 1), "3478")), 2000, 1900)+MID(D24,1,2), MID(D24,3,2), MID(D24,5,2)), TODAY(), "Y"),"")</f>
        <v/>
      </c>
      <c r="AO24" s="112">
        <f>ROUNDDOWN(SUM(AP24:BE25),-1)</f>
        <v>0</v>
      </c>
      <c r="AP24" s="11">
        <f t="shared" ref="AP24" si="299">IF($H24*I24&gt;150000,ROUNDDOWN(($H24*I24-150000)*6%*45%,0),0)</f>
        <v>0</v>
      </c>
      <c r="AQ24" s="12">
        <f t="shared" ref="AQ24" si="300">IF($H24*J24&gt;150000,ROUNDDOWN(($H24*J24-150000)*6%*45%,0),0)</f>
        <v>0</v>
      </c>
      <c r="AR24" s="12">
        <f t="shared" ref="AR24" si="301">IF($H24*K24&gt;150000,ROUNDDOWN(($H24*K24-150000)*6%*45%,0),0)</f>
        <v>0</v>
      </c>
      <c r="AS24" s="12">
        <f t="shared" ref="AS24" si="302">IF($H24*L24&gt;150000,ROUNDDOWN(($H24*L24-150000)*6%*45%,0),0)</f>
        <v>0</v>
      </c>
      <c r="AT24" s="12">
        <f t="shared" ref="AT24" si="303">IF($H24*M24&gt;150000,ROUNDDOWN(($H24*M24-150000)*6%*45%,0),0)</f>
        <v>0</v>
      </c>
      <c r="AU24" s="12">
        <f t="shared" ref="AU24" si="304">IF($H24*N24&gt;150000,ROUNDDOWN(($H24*N24-150000)*6%*45%,0),0)</f>
        <v>0</v>
      </c>
      <c r="AV24" s="12">
        <f t="shared" ref="AV24" si="305">IF($H24*O24&gt;150000,ROUNDDOWN(($H24*O24-150000)*6%*45%,0),0)</f>
        <v>0</v>
      </c>
      <c r="AW24" s="12">
        <f t="shared" ref="AW24" si="306">IF($H24*P24&gt;150000,ROUNDDOWN(($H24*P24-150000)*6%*45%,0),0)</f>
        <v>0</v>
      </c>
      <c r="AX24" s="12">
        <f t="shared" ref="AX24" si="307">IF($H24*Q24&gt;150000,ROUNDDOWN(($H24*Q24-150000)*6%*45%,0),0)</f>
        <v>0</v>
      </c>
      <c r="AY24" s="12">
        <f t="shared" ref="AY24" si="308">IF($H24*R24&gt;150000,ROUNDDOWN(($H24*R24-150000)*6%*45%,0),0)</f>
        <v>0</v>
      </c>
      <c r="AZ24" s="12">
        <f t="shared" ref="AZ24" si="309">IF($H24*S24&gt;150000,ROUNDDOWN(($H24*S24-150000)*6%*45%,0),0)</f>
        <v>0</v>
      </c>
      <c r="BA24" s="12">
        <f t="shared" ref="BA24" si="310">IF($H24*T24&gt;150000,ROUNDDOWN(($H24*T24-150000)*6%*45%,0),0)</f>
        <v>0</v>
      </c>
      <c r="BB24" s="12">
        <f t="shared" ref="BB24" si="311">IF($H24*U24&gt;150000,ROUNDDOWN(($H24*U24-150000)*6%*45%,0),0)</f>
        <v>0</v>
      </c>
      <c r="BC24" s="12">
        <f t="shared" ref="BC24" si="312">IF($H24*V24&gt;150000,ROUNDDOWN(($H24*V24-150000)*6%*45%,0),0)</f>
        <v>0</v>
      </c>
      <c r="BD24" s="13">
        <f t="shared" ref="BD24" si="313">IF($H24*W24&gt;150000,ROUNDDOWN(($H24*W24-150000)*6%*45%,0),0)</f>
        <v>0</v>
      </c>
      <c r="BE24" s="14"/>
    </row>
    <row r="25" spans="1:58" x14ac:dyDescent="0.3">
      <c r="A25" s="142"/>
      <c r="B25" s="116"/>
      <c r="C25" s="116"/>
      <c r="D25" s="143"/>
      <c r="E25" s="116"/>
      <c r="F25" s="116"/>
      <c r="G25" s="144"/>
      <c r="H25" s="112"/>
      <c r="I25" s="43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5"/>
      <c r="Y25" s="145"/>
      <c r="Z25" s="116"/>
      <c r="AA25" s="112"/>
      <c r="AB25" s="65">
        <f t="shared" ref="AB25" si="314">ROUNDDOWN(AB24*10%,-1)</f>
        <v>0</v>
      </c>
      <c r="AC25" s="66">
        <f t="shared" ref="AC25" ca="1" si="315">IFERROR(IF(AND( OR(COUNTIF(I24:X25, "&gt;0")&gt;=$AJ$1, AA24&gt;=$AJ$4),AN24&lt;60,AA24&lt;=$AH$5),ROUNDDOWN(ROUNDDOWN(AA24,-3)*$AH$4%,-1),IF(AND(COUNTIF(I24:X25,"&gt;0")&gt;=$AJ$1,AN24&lt;60,AA24&gt;$AH$5),$AJ$5,0)),0)</f>
        <v>0</v>
      </c>
      <c r="AD25" s="67">
        <f t="shared" ref="AD25" si="316">IF(Z24&gt;=$AJ$1,ROUNDDOWN(AD24*$AH$3%/($AH$2*2%),-1),0)</f>
        <v>0</v>
      </c>
      <c r="AE25" s="112"/>
      <c r="AF25" s="112"/>
      <c r="AG25" s="116"/>
      <c r="AH25" s="116"/>
      <c r="AI25" s="116"/>
      <c r="AJ25" s="115"/>
      <c r="AK25" s="114"/>
      <c r="AL25" s="149"/>
      <c r="AM25" s="115"/>
      <c r="AN25" s="113"/>
      <c r="AO25" s="112"/>
      <c r="AP25" s="15">
        <f t="shared" ref="AP25" si="317">IF($H24*I25&gt;150000,ROUNDDOWN(($H24*I25-150000)*6%*45%,0),0)</f>
        <v>0</v>
      </c>
      <c r="AQ25" s="16">
        <f t="shared" ref="AQ25" si="318">IF($H24*J25&gt;150000,ROUNDDOWN(($H24*J25-150000)*6%*45%,0),0)</f>
        <v>0</v>
      </c>
      <c r="AR25" s="16">
        <f t="shared" ref="AR25" si="319">IF($H24*K25&gt;150000,ROUNDDOWN(($H24*K25-150000)*6%*45%,0),0)</f>
        <v>0</v>
      </c>
      <c r="AS25" s="16">
        <f t="shared" ref="AS25" si="320">IF($H24*L25&gt;150000,ROUNDDOWN(($H24*L25-150000)*6%*45%,0),0)</f>
        <v>0</v>
      </c>
      <c r="AT25" s="16">
        <f t="shared" ref="AT25" si="321">IF($H24*M25&gt;150000,ROUNDDOWN(($H24*M25-150000)*6%*45%,0),0)</f>
        <v>0</v>
      </c>
      <c r="AU25" s="16">
        <f t="shared" ref="AU25" si="322">IF($H24*N25&gt;150000,ROUNDDOWN(($H24*N25-150000)*6%*45%,0),0)</f>
        <v>0</v>
      </c>
      <c r="AV25" s="16">
        <f t="shared" ref="AV25" si="323">IF($H24*O25&gt;150000,ROUNDDOWN(($H24*O25-150000)*6%*45%,0),0)</f>
        <v>0</v>
      </c>
      <c r="AW25" s="16">
        <f t="shared" ref="AW25" si="324">IF($H24*P25&gt;150000,ROUNDDOWN(($H24*P25-150000)*6%*45%,0),0)</f>
        <v>0</v>
      </c>
      <c r="AX25" s="16">
        <f t="shared" ref="AX25" si="325">IF($H24*Q25&gt;150000,ROUNDDOWN(($H24*Q25-150000)*6%*45%,0),0)</f>
        <v>0</v>
      </c>
      <c r="AY25" s="16">
        <f t="shared" ref="AY25" si="326">IF($H24*R25&gt;150000,ROUNDDOWN(($H24*R25-150000)*6%*45%,0),0)</f>
        <v>0</v>
      </c>
      <c r="AZ25" s="16">
        <f t="shared" ref="AZ25" si="327">IF($H24*S25&gt;150000,ROUNDDOWN(($H24*S25-150000)*6%*45%,0),0)</f>
        <v>0</v>
      </c>
      <c r="BA25" s="16">
        <f t="shared" ref="BA25" si="328">IF($H24*T25&gt;150000,ROUNDDOWN(($H24*T25-150000)*6%*45%,0),0)</f>
        <v>0</v>
      </c>
      <c r="BB25" s="16">
        <f t="shared" ref="BB25" si="329">IF($H24*U25&gt;150000,ROUNDDOWN(($H24*U25-150000)*6%*45%,0),0)</f>
        <v>0</v>
      </c>
      <c r="BC25" s="16">
        <f t="shared" ref="BC25" si="330">IF($H24*V25&gt;150000,ROUNDDOWN(($H24*V25-150000)*6%*45%,0),0)</f>
        <v>0</v>
      </c>
      <c r="BD25" s="16">
        <f t="shared" ref="BD25" si="331">IF($H24*W25&gt;150000,ROUNDDOWN(($H24*W25-150000)*6%*45%,0),0)</f>
        <v>0</v>
      </c>
      <c r="BE25" s="17">
        <f t="shared" ref="BE25" si="332">IF($H24*X25&gt;150000,ROUNDDOWN(($H24*X25-150000)*6%*45%,0),0)</f>
        <v>0</v>
      </c>
      <c r="BF25" s="28"/>
    </row>
    <row r="26" spans="1:58" x14ac:dyDescent="0.3">
      <c r="A26" s="142">
        <v>10</v>
      </c>
      <c r="B26" s="116" t="str">
        <f t="shared" ref="B26" si="333">IF(LEN(D26)&gt;1,IF(VALUE(MID(RIGHT(D26,7),1,1))&gt;4,"외국인",IF(VALUE(RIGHT(11-MOD((MID(D26,1,1)*2+MID(D26,2,1)*3+MID(D26,3,1)*4+MID(D26,4,1)*5+MID(D26,5,1)*6+MID(D26,6,1)*7+MID(RIGHT(D26,7),1,1)*8+MID(RIGHT(D26,7),2,1)*9+MID(RIGHT(D26,7),3,1)*2+MID(RIGHT(D26,7),4,1)*3+MID(RIGHT(D26,7),5,1)*4+MID(RIGHT(D26,7),6,1)*5),11),1))=VALUE(RIGHT(D26,1)),"","오류")),"")</f>
        <v/>
      </c>
      <c r="C26" s="116"/>
      <c r="D26" s="143"/>
      <c r="E26" s="116"/>
      <c r="F26" s="116"/>
      <c r="G26" s="144"/>
      <c r="H26" s="112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40"/>
      <c r="T26" s="40"/>
      <c r="U26" s="39"/>
      <c r="V26" s="39"/>
      <c r="W26" s="41"/>
      <c r="X26" s="42"/>
      <c r="Y26" s="145">
        <f>SUM(I26:X27)</f>
        <v>0</v>
      </c>
      <c r="Z26" s="116">
        <f>COUNTIF(I26:X27,"&gt;0")</f>
        <v>0</v>
      </c>
      <c r="AA26" s="112">
        <f t="shared" ref="AA26" si="334">H26*Y26</f>
        <v>0</v>
      </c>
      <c r="AB26" s="62">
        <f t="shared" ref="AB26" si="335">IF(AO26&lt;1000, 0, AO26)</f>
        <v>0</v>
      </c>
      <c r="AC26" s="63">
        <f ca="1">IF(IFERROR($AN26&lt;65,FALSE), IF(B26&lt;&gt;"외국인", ROUNDDOWN(AA26*$AH$1%,-1), IF(AND(AM26&lt;&gt;"", ISNUMBER(SEARCH(LEFT(SUBSTITUTE(AM26, "-",""),2), "F2_F5_F6"))), ROUNDDOWN(AA26*$AH$1%,-1), 0)),0)</f>
        <v>0</v>
      </c>
      <c r="AD26" s="64">
        <f t="shared" ref="AD26" si="336">IF(Z26&gt;=$AJ$1,ROUNDDOWN(AA26*$AH$2%,-1),0)</f>
        <v>0</v>
      </c>
      <c r="AE26" s="112">
        <f t="shared" ref="AE26" ca="1" si="337">AB26+AC26+AB27+AC27+AD26+AD27</f>
        <v>0</v>
      </c>
      <c r="AF26" s="112">
        <f t="shared" ref="AF26" ca="1" si="338">AA26-AE26</f>
        <v>0</v>
      </c>
      <c r="AG26" s="116"/>
      <c r="AH26" s="116"/>
      <c r="AI26" s="116"/>
      <c r="AJ26" s="115"/>
      <c r="AK26" s="114"/>
      <c r="AL26" s="149"/>
      <c r="AM26" s="115"/>
      <c r="AN26" s="113" t="str">
        <f t="shared" ref="AN26" ca="1" si="339">IFERROR(DATEDIF(DATE(IF(ISNUMBER(FIND(MID( SUBSTITUTE(D26, "-",""), 7, 1), "3478")), 2000, 1900)+MID(D26,1,2), MID(D26,3,2), MID(D26,5,2)), TODAY(), "Y"),"")</f>
        <v/>
      </c>
      <c r="AO26" s="112">
        <f>ROUNDDOWN(SUM(AP26:BE27),-1)</f>
        <v>0</v>
      </c>
      <c r="AP26" s="11">
        <f t="shared" ref="AP26" si="340">IF($H26*I26&gt;150000,ROUNDDOWN(($H26*I26-150000)*6%*45%,0),0)</f>
        <v>0</v>
      </c>
      <c r="AQ26" s="12">
        <f t="shared" ref="AQ26" si="341">IF($H26*J26&gt;150000,ROUNDDOWN(($H26*J26-150000)*6%*45%,0),0)</f>
        <v>0</v>
      </c>
      <c r="AR26" s="12">
        <f t="shared" ref="AR26" si="342">IF($H26*K26&gt;150000,ROUNDDOWN(($H26*K26-150000)*6%*45%,0),0)</f>
        <v>0</v>
      </c>
      <c r="AS26" s="12">
        <f t="shared" ref="AS26" si="343">IF($H26*L26&gt;150000,ROUNDDOWN(($H26*L26-150000)*6%*45%,0),0)</f>
        <v>0</v>
      </c>
      <c r="AT26" s="12">
        <f t="shared" ref="AT26" si="344">IF($H26*M26&gt;150000,ROUNDDOWN(($H26*M26-150000)*6%*45%,0),0)</f>
        <v>0</v>
      </c>
      <c r="AU26" s="12">
        <f t="shared" ref="AU26" si="345">IF($H26*N26&gt;150000,ROUNDDOWN(($H26*N26-150000)*6%*45%,0),0)</f>
        <v>0</v>
      </c>
      <c r="AV26" s="12">
        <f t="shared" ref="AV26" si="346">IF($H26*O26&gt;150000,ROUNDDOWN(($H26*O26-150000)*6%*45%,0),0)</f>
        <v>0</v>
      </c>
      <c r="AW26" s="12">
        <f t="shared" ref="AW26" si="347">IF($H26*P26&gt;150000,ROUNDDOWN(($H26*P26-150000)*6%*45%,0),0)</f>
        <v>0</v>
      </c>
      <c r="AX26" s="12">
        <f t="shared" ref="AX26" si="348">IF($H26*Q26&gt;150000,ROUNDDOWN(($H26*Q26-150000)*6%*45%,0),0)</f>
        <v>0</v>
      </c>
      <c r="AY26" s="12">
        <f t="shared" ref="AY26" si="349">IF($H26*R26&gt;150000,ROUNDDOWN(($H26*R26-150000)*6%*45%,0),0)</f>
        <v>0</v>
      </c>
      <c r="AZ26" s="12">
        <f t="shared" ref="AZ26" si="350">IF($H26*S26&gt;150000,ROUNDDOWN(($H26*S26-150000)*6%*45%,0),0)</f>
        <v>0</v>
      </c>
      <c r="BA26" s="12">
        <f t="shared" ref="BA26" si="351">IF($H26*T26&gt;150000,ROUNDDOWN(($H26*T26-150000)*6%*45%,0),0)</f>
        <v>0</v>
      </c>
      <c r="BB26" s="12">
        <f t="shared" ref="BB26" si="352">IF($H26*U26&gt;150000,ROUNDDOWN(($H26*U26-150000)*6%*45%,0),0)</f>
        <v>0</v>
      </c>
      <c r="BC26" s="12">
        <f t="shared" ref="BC26" si="353">IF($H26*V26&gt;150000,ROUNDDOWN(($H26*V26-150000)*6%*45%,0),0)</f>
        <v>0</v>
      </c>
      <c r="BD26" s="13">
        <f t="shared" ref="BD26" si="354">IF($H26*W26&gt;150000,ROUNDDOWN(($H26*W26-150000)*6%*45%,0),0)</f>
        <v>0</v>
      </c>
      <c r="BE26" s="14"/>
    </row>
    <row r="27" spans="1:58" x14ac:dyDescent="0.3">
      <c r="A27" s="142"/>
      <c r="B27" s="116"/>
      <c r="C27" s="116"/>
      <c r="D27" s="143"/>
      <c r="E27" s="116"/>
      <c r="F27" s="116"/>
      <c r="G27" s="144"/>
      <c r="H27" s="112"/>
      <c r="I27" s="4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5"/>
      <c r="Y27" s="145"/>
      <c r="Z27" s="116"/>
      <c r="AA27" s="112"/>
      <c r="AB27" s="65">
        <f t="shared" ref="AB27" si="355">ROUNDDOWN(AB26*10%,-1)</f>
        <v>0</v>
      </c>
      <c r="AC27" s="66">
        <f t="shared" ref="AC27" ca="1" si="356">IFERROR(IF(AND( OR(COUNTIF(I26:X27, "&gt;0")&gt;=$AJ$1, AA26&gt;=$AJ$4),AN26&lt;60,AA26&lt;=$AH$5),ROUNDDOWN(ROUNDDOWN(AA26,-3)*$AH$4%,-1),IF(AND(COUNTIF(I26:X27,"&gt;0")&gt;=$AJ$1,AN26&lt;60,AA26&gt;$AH$5),$AJ$5,0)),0)</f>
        <v>0</v>
      </c>
      <c r="AD27" s="67">
        <f t="shared" ref="AD27" si="357">IF(Z26&gt;=$AJ$1,ROUNDDOWN(AD26*$AH$3%/($AH$2*2%),-1),0)</f>
        <v>0</v>
      </c>
      <c r="AE27" s="112"/>
      <c r="AF27" s="112"/>
      <c r="AG27" s="116"/>
      <c r="AH27" s="116"/>
      <c r="AI27" s="116"/>
      <c r="AJ27" s="115"/>
      <c r="AK27" s="114"/>
      <c r="AL27" s="149"/>
      <c r="AM27" s="115"/>
      <c r="AN27" s="113"/>
      <c r="AO27" s="112"/>
      <c r="AP27" s="15">
        <f t="shared" ref="AP27" si="358">IF($H26*I27&gt;150000,ROUNDDOWN(($H26*I27-150000)*6%*45%,0),0)</f>
        <v>0</v>
      </c>
      <c r="AQ27" s="16">
        <f t="shared" ref="AQ27" si="359">IF($H26*J27&gt;150000,ROUNDDOWN(($H26*J27-150000)*6%*45%,0),0)</f>
        <v>0</v>
      </c>
      <c r="AR27" s="16">
        <f t="shared" ref="AR27" si="360">IF($H26*K27&gt;150000,ROUNDDOWN(($H26*K27-150000)*6%*45%,0),0)</f>
        <v>0</v>
      </c>
      <c r="AS27" s="16">
        <f t="shared" ref="AS27" si="361">IF($H26*L27&gt;150000,ROUNDDOWN(($H26*L27-150000)*6%*45%,0),0)</f>
        <v>0</v>
      </c>
      <c r="AT27" s="16">
        <f t="shared" ref="AT27" si="362">IF($H26*M27&gt;150000,ROUNDDOWN(($H26*M27-150000)*6%*45%,0),0)</f>
        <v>0</v>
      </c>
      <c r="AU27" s="16">
        <f t="shared" ref="AU27" si="363">IF($H26*N27&gt;150000,ROUNDDOWN(($H26*N27-150000)*6%*45%,0),0)</f>
        <v>0</v>
      </c>
      <c r="AV27" s="16">
        <f t="shared" ref="AV27" si="364">IF($H26*O27&gt;150000,ROUNDDOWN(($H26*O27-150000)*6%*45%,0),0)</f>
        <v>0</v>
      </c>
      <c r="AW27" s="16">
        <f t="shared" ref="AW27" si="365">IF($H26*P27&gt;150000,ROUNDDOWN(($H26*P27-150000)*6%*45%,0),0)</f>
        <v>0</v>
      </c>
      <c r="AX27" s="16">
        <f t="shared" ref="AX27" si="366">IF($H26*Q27&gt;150000,ROUNDDOWN(($H26*Q27-150000)*6%*45%,0),0)</f>
        <v>0</v>
      </c>
      <c r="AY27" s="16">
        <f t="shared" ref="AY27" si="367">IF($H26*R27&gt;150000,ROUNDDOWN(($H26*R27-150000)*6%*45%,0),0)</f>
        <v>0</v>
      </c>
      <c r="AZ27" s="16">
        <f t="shared" ref="AZ27" si="368">IF($H26*S27&gt;150000,ROUNDDOWN(($H26*S27-150000)*6%*45%,0),0)</f>
        <v>0</v>
      </c>
      <c r="BA27" s="16">
        <f t="shared" ref="BA27" si="369">IF($H26*T27&gt;150000,ROUNDDOWN(($H26*T27-150000)*6%*45%,0),0)</f>
        <v>0</v>
      </c>
      <c r="BB27" s="16">
        <f t="shared" ref="BB27" si="370">IF($H26*U27&gt;150000,ROUNDDOWN(($H26*U27-150000)*6%*45%,0),0)</f>
        <v>0</v>
      </c>
      <c r="BC27" s="16">
        <f t="shared" ref="BC27" si="371">IF($H26*V27&gt;150000,ROUNDDOWN(($H26*V27-150000)*6%*45%,0),0)</f>
        <v>0</v>
      </c>
      <c r="BD27" s="16">
        <f t="shared" ref="BD27" si="372">IF($H26*W27&gt;150000,ROUNDDOWN(($H26*W27-150000)*6%*45%,0),0)</f>
        <v>0</v>
      </c>
      <c r="BE27" s="17">
        <f t="shared" ref="BE27" si="373">IF($H26*X27&gt;150000,ROUNDDOWN(($H26*X27-150000)*6%*45%,0),0)</f>
        <v>0</v>
      </c>
      <c r="BF27" s="28"/>
    </row>
    <row r="28" spans="1:58" x14ac:dyDescent="0.3">
      <c r="A28" s="142">
        <v>11</v>
      </c>
      <c r="B28" s="116" t="str">
        <f t="shared" ref="B28" si="374">IF(LEN(D28)&gt;1,IF(VALUE(MID(RIGHT(D28,7),1,1))&gt;4,"외국인",IF(VALUE(RIGHT(11-MOD((MID(D28,1,1)*2+MID(D28,2,1)*3+MID(D28,3,1)*4+MID(D28,4,1)*5+MID(D28,5,1)*6+MID(D28,6,1)*7+MID(RIGHT(D28,7),1,1)*8+MID(RIGHT(D28,7),2,1)*9+MID(RIGHT(D28,7),3,1)*2+MID(RIGHT(D28,7),4,1)*3+MID(RIGHT(D28,7),5,1)*4+MID(RIGHT(D28,7),6,1)*5),11),1))=VALUE(RIGHT(D28,1)),"","오류")),"")</f>
        <v/>
      </c>
      <c r="C28" s="116"/>
      <c r="D28" s="143"/>
      <c r="E28" s="116"/>
      <c r="F28" s="116"/>
      <c r="G28" s="144"/>
      <c r="H28" s="112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40"/>
      <c r="T28" s="40"/>
      <c r="U28" s="39"/>
      <c r="V28" s="39"/>
      <c r="W28" s="41"/>
      <c r="X28" s="42"/>
      <c r="Y28" s="145">
        <f>SUM(I28:X29)</f>
        <v>0</v>
      </c>
      <c r="Z28" s="116">
        <f>COUNTIF(I28:X29,"&gt;0")</f>
        <v>0</v>
      </c>
      <c r="AA28" s="112">
        <f t="shared" ref="AA28" si="375">H28*Y28</f>
        <v>0</v>
      </c>
      <c r="AB28" s="62">
        <f t="shared" ref="AB28" si="376">IF(AO28&lt;1000, 0, AO28)</f>
        <v>0</v>
      </c>
      <c r="AC28" s="63">
        <f ca="1">IF(IFERROR($AN28&lt;65,FALSE), IF(B28&lt;&gt;"외국인", ROUNDDOWN(AA28*$AH$1%,-1), IF(AND(AM28&lt;&gt;"", ISNUMBER(SEARCH(LEFT(SUBSTITUTE(AM28, "-",""),2), "F2_F5_F6"))), ROUNDDOWN(AA28*$AH$1%,-1), 0)),0)</f>
        <v>0</v>
      </c>
      <c r="AD28" s="64">
        <f t="shared" ref="AD28" si="377">IF(Z28&gt;=$AJ$1,ROUNDDOWN(AA28*$AH$2%,-1),0)</f>
        <v>0</v>
      </c>
      <c r="AE28" s="112">
        <f t="shared" ref="AE28" ca="1" si="378">AB28+AC28+AB29+AC29+AD28+AD29</f>
        <v>0</v>
      </c>
      <c r="AF28" s="112">
        <f t="shared" ref="AF28" ca="1" si="379">AA28-AE28</f>
        <v>0</v>
      </c>
      <c r="AG28" s="116"/>
      <c r="AH28" s="116"/>
      <c r="AI28" s="116"/>
      <c r="AJ28" s="115"/>
      <c r="AK28" s="114"/>
      <c r="AL28" s="149"/>
      <c r="AM28" s="115"/>
      <c r="AN28" s="113" t="str">
        <f t="shared" ref="AN28" ca="1" si="380">IFERROR(DATEDIF(DATE(IF(ISNUMBER(FIND(MID( SUBSTITUTE(D28, "-",""), 7, 1), "3478")), 2000, 1900)+MID(D28,1,2), MID(D28,3,2), MID(D28,5,2)), TODAY(), "Y"),"")</f>
        <v/>
      </c>
      <c r="AO28" s="112">
        <f>ROUNDDOWN(SUM(AP28:BE29),-1)</f>
        <v>0</v>
      </c>
      <c r="AP28" s="11">
        <f t="shared" ref="AP28" si="381">IF($H28*I28&gt;150000,ROUNDDOWN(($H28*I28-150000)*6%*45%,0),0)</f>
        <v>0</v>
      </c>
      <c r="AQ28" s="12">
        <f t="shared" ref="AQ28" si="382">IF($H28*J28&gt;150000,ROUNDDOWN(($H28*J28-150000)*6%*45%,0),0)</f>
        <v>0</v>
      </c>
      <c r="AR28" s="12">
        <f t="shared" ref="AR28" si="383">IF($H28*K28&gt;150000,ROUNDDOWN(($H28*K28-150000)*6%*45%,0),0)</f>
        <v>0</v>
      </c>
      <c r="AS28" s="12">
        <f t="shared" ref="AS28" si="384">IF($H28*L28&gt;150000,ROUNDDOWN(($H28*L28-150000)*6%*45%,0),0)</f>
        <v>0</v>
      </c>
      <c r="AT28" s="12">
        <f t="shared" ref="AT28" si="385">IF($H28*M28&gt;150000,ROUNDDOWN(($H28*M28-150000)*6%*45%,0),0)</f>
        <v>0</v>
      </c>
      <c r="AU28" s="12">
        <f t="shared" ref="AU28" si="386">IF($H28*N28&gt;150000,ROUNDDOWN(($H28*N28-150000)*6%*45%,0),0)</f>
        <v>0</v>
      </c>
      <c r="AV28" s="12">
        <f t="shared" ref="AV28" si="387">IF($H28*O28&gt;150000,ROUNDDOWN(($H28*O28-150000)*6%*45%,0),0)</f>
        <v>0</v>
      </c>
      <c r="AW28" s="12">
        <f t="shared" ref="AW28" si="388">IF($H28*P28&gt;150000,ROUNDDOWN(($H28*P28-150000)*6%*45%,0),0)</f>
        <v>0</v>
      </c>
      <c r="AX28" s="12">
        <f t="shared" ref="AX28" si="389">IF($H28*Q28&gt;150000,ROUNDDOWN(($H28*Q28-150000)*6%*45%,0),0)</f>
        <v>0</v>
      </c>
      <c r="AY28" s="12">
        <f t="shared" ref="AY28" si="390">IF($H28*R28&gt;150000,ROUNDDOWN(($H28*R28-150000)*6%*45%,0),0)</f>
        <v>0</v>
      </c>
      <c r="AZ28" s="12">
        <f t="shared" ref="AZ28" si="391">IF($H28*S28&gt;150000,ROUNDDOWN(($H28*S28-150000)*6%*45%,0),0)</f>
        <v>0</v>
      </c>
      <c r="BA28" s="12">
        <f t="shared" ref="BA28" si="392">IF($H28*T28&gt;150000,ROUNDDOWN(($H28*T28-150000)*6%*45%,0),0)</f>
        <v>0</v>
      </c>
      <c r="BB28" s="12">
        <f t="shared" ref="BB28" si="393">IF($H28*U28&gt;150000,ROUNDDOWN(($H28*U28-150000)*6%*45%,0),0)</f>
        <v>0</v>
      </c>
      <c r="BC28" s="12">
        <f t="shared" ref="BC28" si="394">IF($H28*V28&gt;150000,ROUNDDOWN(($H28*V28-150000)*6%*45%,0),0)</f>
        <v>0</v>
      </c>
      <c r="BD28" s="13">
        <f t="shared" ref="BD28" si="395">IF($H28*W28&gt;150000,ROUNDDOWN(($H28*W28-150000)*6%*45%,0),0)</f>
        <v>0</v>
      </c>
      <c r="BE28" s="14"/>
    </row>
    <row r="29" spans="1:58" x14ac:dyDescent="0.3">
      <c r="A29" s="142"/>
      <c r="B29" s="116"/>
      <c r="C29" s="116"/>
      <c r="D29" s="143"/>
      <c r="E29" s="116"/>
      <c r="F29" s="116"/>
      <c r="G29" s="144"/>
      <c r="H29" s="112"/>
      <c r="I29" s="43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5"/>
      <c r="Y29" s="145"/>
      <c r="Z29" s="116"/>
      <c r="AA29" s="112"/>
      <c r="AB29" s="65">
        <f t="shared" ref="AB29" si="396">ROUNDDOWN(AB28*10%,-1)</f>
        <v>0</v>
      </c>
      <c r="AC29" s="66">
        <f t="shared" ref="AC29" ca="1" si="397">IFERROR(IF(AND( OR(COUNTIF(I28:X29, "&gt;0")&gt;=$AJ$1, AA28&gt;=$AJ$4),AN28&lt;60,AA28&lt;=$AH$5),ROUNDDOWN(ROUNDDOWN(AA28,-3)*$AH$4%,-1),IF(AND(COUNTIF(I28:X29,"&gt;0")&gt;=$AJ$1,AN28&lt;60,AA28&gt;$AH$5),$AJ$5,0)),0)</f>
        <v>0</v>
      </c>
      <c r="AD29" s="67">
        <f t="shared" ref="AD29" si="398">IF(Z28&gt;=$AJ$1,ROUNDDOWN(AD28*$AH$3%/($AH$2*2%),-1),0)</f>
        <v>0</v>
      </c>
      <c r="AE29" s="112"/>
      <c r="AF29" s="112"/>
      <c r="AG29" s="116"/>
      <c r="AH29" s="116"/>
      <c r="AI29" s="116"/>
      <c r="AJ29" s="115"/>
      <c r="AK29" s="114"/>
      <c r="AL29" s="149"/>
      <c r="AM29" s="115"/>
      <c r="AN29" s="113"/>
      <c r="AO29" s="112"/>
      <c r="AP29" s="15">
        <f t="shared" ref="AP29" si="399">IF($H28*I29&gt;150000,ROUNDDOWN(($H28*I29-150000)*6%*45%,0),0)</f>
        <v>0</v>
      </c>
      <c r="AQ29" s="16">
        <f t="shared" ref="AQ29" si="400">IF($H28*J29&gt;150000,ROUNDDOWN(($H28*J29-150000)*6%*45%,0),0)</f>
        <v>0</v>
      </c>
      <c r="AR29" s="16">
        <f t="shared" ref="AR29" si="401">IF($H28*K29&gt;150000,ROUNDDOWN(($H28*K29-150000)*6%*45%,0),0)</f>
        <v>0</v>
      </c>
      <c r="AS29" s="16">
        <f t="shared" ref="AS29" si="402">IF($H28*L29&gt;150000,ROUNDDOWN(($H28*L29-150000)*6%*45%,0),0)</f>
        <v>0</v>
      </c>
      <c r="AT29" s="16">
        <f t="shared" ref="AT29" si="403">IF($H28*M29&gt;150000,ROUNDDOWN(($H28*M29-150000)*6%*45%,0),0)</f>
        <v>0</v>
      </c>
      <c r="AU29" s="16">
        <f t="shared" ref="AU29" si="404">IF($H28*N29&gt;150000,ROUNDDOWN(($H28*N29-150000)*6%*45%,0),0)</f>
        <v>0</v>
      </c>
      <c r="AV29" s="16">
        <f t="shared" ref="AV29" si="405">IF($H28*O29&gt;150000,ROUNDDOWN(($H28*O29-150000)*6%*45%,0),0)</f>
        <v>0</v>
      </c>
      <c r="AW29" s="16">
        <f t="shared" ref="AW29" si="406">IF($H28*P29&gt;150000,ROUNDDOWN(($H28*P29-150000)*6%*45%,0),0)</f>
        <v>0</v>
      </c>
      <c r="AX29" s="16">
        <f t="shared" ref="AX29" si="407">IF($H28*Q29&gt;150000,ROUNDDOWN(($H28*Q29-150000)*6%*45%,0),0)</f>
        <v>0</v>
      </c>
      <c r="AY29" s="16">
        <f t="shared" ref="AY29" si="408">IF($H28*R29&gt;150000,ROUNDDOWN(($H28*R29-150000)*6%*45%,0),0)</f>
        <v>0</v>
      </c>
      <c r="AZ29" s="16">
        <f t="shared" ref="AZ29" si="409">IF($H28*S29&gt;150000,ROUNDDOWN(($H28*S29-150000)*6%*45%,0),0)</f>
        <v>0</v>
      </c>
      <c r="BA29" s="16">
        <f t="shared" ref="BA29" si="410">IF($H28*T29&gt;150000,ROUNDDOWN(($H28*T29-150000)*6%*45%,0),0)</f>
        <v>0</v>
      </c>
      <c r="BB29" s="16">
        <f t="shared" ref="BB29" si="411">IF($H28*U29&gt;150000,ROUNDDOWN(($H28*U29-150000)*6%*45%,0),0)</f>
        <v>0</v>
      </c>
      <c r="BC29" s="16">
        <f t="shared" ref="BC29" si="412">IF($H28*V29&gt;150000,ROUNDDOWN(($H28*V29-150000)*6%*45%,0),0)</f>
        <v>0</v>
      </c>
      <c r="BD29" s="16">
        <f t="shared" ref="BD29" si="413">IF($H28*W29&gt;150000,ROUNDDOWN(($H28*W29-150000)*6%*45%,0),0)</f>
        <v>0</v>
      </c>
      <c r="BE29" s="17">
        <f t="shared" ref="BE29" si="414">IF($H28*X29&gt;150000,ROUNDDOWN(($H28*X29-150000)*6%*45%,0),0)</f>
        <v>0</v>
      </c>
      <c r="BF29" s="28"/>
    </row>
    <row r="30" spans="1:58" x14ac:dyDescent="0.3">
      <c r="A30" s="142">
        <v>12</v>
      </c>
      <c r="B30" s="116" t="str">
        <f t="shared" ref="B30" si="415">IF(LEN(D30)&gt;1,IF(VALUE(MID(RIGHT(D30,7),1,1))&gt;4,"외국인",IF(VALUE(RIGHT(11-MOD((MID(D30,1,1)*2+MID(D30,2,1)*3+MID(D30,3,1)*4+MID(D30,4,1)*5+MID(D30,5,1)*6+MID(D30,6,1)*7+MID(RIGHT(D30,7),1,1)*8+MID(RIGHT(D30,7),2,1)*9+MID(RIGHT(D30,7),3,1)*2+MID(RIGHT(D30,7),4,1)*3+MID(RIGHT(D30,7),5,1)*4+MID(RIGHT(D30,7),6,1)*5),11),1))=VALUE(RIGHT(D30,1)),"","오류")),"")</f>
        <v/>
      </c>
      <c r="C30" s="116"/>
      <c r="D30" s="143"/>
      <c r="E30" s="116"/>
      <c r="F30" s="116"/>
      <c r="G30" s="144"/>
      <c r="H30" s="112"/>
      <c r="I30" s="38"/>
      <c r="J30" s="39"/>
      <c r="K30" s="39"/>
      <c r="L30" s="39"/>
      <c r="M30" s="39"/>
      <c r="N30" s="39"/>
      <c r="O30" s="39"/>
      <c r="P30" s="39"/>
      <c r="Q30" s="39"/>
      <c r="R30" s="39"/>
      <c r="S30" s="40"/>
      <c r="T30" s="40"/>
      <c r="U30" s="39"/>
      <c r="V30" s="39"/>
      <c r="W30" s="41"/>
      <c r="X30" s="42"/>
      <c r="Y30" s="145">
        <f>SUM(I30:X31)</f>
        <v>0</v>
      </c>
      <c r="Z30" s="116">
        <f>COUNTIF(I30:X31,"&gt;0")</f>
        <v>0</v>
      </c>
      <c r="AA30" s="112">
        <f t="shared" ref="AA30" si="416">H30*Y30</f>
        <v>0</v>
      </c>
      <c r="AB30" s="62">
        <f t="shared" ref="AB30" si="417">IF(AO30&lt;1000, 0, AO30)</f>
        <v>0</v>
      </c>
      <c r="AC30" s="63">
        <f ca="1">IF(IFERROR($AN30&lt;65,FALSE), IF(B30&lt;&gt;"외국인", ROUNDDOWN(AA30*$AH$1%,-1), IF(AND(AM30&lt;&gt;"", ISNUMBER(SEARCH(LEFT(SUBSTITUTE(AM30, "-",""),2), "F2_F5_F6"))), ROUNDDOWN(AA30*$AH$1%,-1), 0)),0)</f>
        <v>0</v>
      </c>
      <c r="AD30" s="64">
        <f t="shared" ref="AD30" si="418">IF(Z30&gt;=$AJ$1,ROUNDDOWN(AA30*$AH$2%,-1),0)</f>
        <v>0</v>
      </c>
      <c r="AE30" s="112">
        <f t="shared" ref="AE30" ca="1" si="419">AB30+AC30+AB31+AC31+AD30+AD31</f>
        <v>0</v>
      </c>
      <c r="AF30" s="112">
        <f t="shared" ref="AF30" ca="1" si="420">AA30-AE30</f>
        <v>0</v>
      </c>
      <c r="AG30" s="116"/>
      <c r="AH30" s="116"/>
      <c r="AI30" s="116"/>
      <c r="AJ30" s="115"/>
      <c r="AK30" s="114"/>
      <c r="AL30" s="149"/>
      <c r="AM30" s="115"/>
      <c r="AN30" s="113" t="str">
        <f t="shared" ref="AN30" ca="1" si="421">IFERROR(DATEDIF(DATE(IF(ISNUMBER(FIND(MID( SUBSTITUTE(D30, "-",""), 7, 1), "3478")), 2000, 1900)+MID(D30,1,2), MID(D30,3,2), MID(D30,5,2)), TODAY(), "Y"),"")</f>
        <v/>
      </c>
      <c r="AO30" s="112">
        <f>ROUNDDOWN(SUM(AP30:BE31),-1)</f>
        <v>0</v>
      </c>
      <c r="AP30" s="11">
        <f t="shared" ref="AP30" si="422">IF($H30*I30&gt;150000,ROUNDDOWN(($H30*I30-150000)*6%*45%,0),0)</f>
        <v>0</v>
      </c>
      <c r="AQ30" s="12">
        <f t="shared" ref="AQ30" si="423">IF($H30*J30&gt;150000,ROUNDDOWN(($H30*J30-150000)*6%*45%,0),0)</f>
        <v>0</v>
      </c>
      <c r="AR30" s="12">
        <f t="shared" ref="AR30" si="424">IF($H30*K30&gt;150000,ROUNDDOWN(($H30*K30-150000)*6%*45%,0),0)</f>
        <v>0</v>
      </c>
      <c r="AS30" s="12">
        <f t="shared" ref="AS30" si="425">IF($H30*L30&gt;150000,ROUNDDOWN(($H30*L30-150000)*6%*45%,0),0)</f>
        <v>0</v>
      </c>
      <c r="AT30" s="12">
        <f t="shared" ref="AT30" si="426">IF($H30*M30&gt;150000,ROUNDDOWN(($H30*M30-150000)*6%*45%,0),0)</f>
        <v>0</v>
      </c>
      <c r="AU30" s="12">
        <f t="shared" ref="AU30" si="427">IF($H30*N30&gt;150000,ROUNDDOWN(($H30*N30-150000)*6%*45%,0),0)</f>
        <v>0</v>
      </c>
      <c r="AV30" s="12">
        <f t="shared" ref="AV30" si="428">IF($H30*O30&gt;150000,ROUNDDOWN(($H30*O30-150000)*6%*45%,0),0)</f>
        <v>0</v>
      </c>
      <c r="AW30" s="12">
        <f t="shared" ref="AW30" si="429">IF($H30*P30&gt;150000,ROUNDDOWN(($H30*P30-150000)*6%*45%,0),0)</f>
        <v>0</v>
      </c>
      <c r="AX30" s="12">
        <f t="shared" ref="AX30" si="430">IF($H30*Q30&gt;150000,ROUNDDOWN(($H30*Q30-150000)*6%*45%,0),0)</f>
        <v>0</v>
      </c>
      <c r="AY30" s="12">
        <f t="shared" ref="AY30" si="431">IF($H30*R30&gt;150000,ROUNDDOWN(($H30*R30-150000)*6%*45%,0),0)</f>
        <v>0</v>
      </c>
      <c r="AZ30" s="12">
        <f t="shared" ref="AZ30" si="432">IF($H30*S30&gt;150000,ROUNDDOWN(($H30*S30-150000)*6%*45%,0),0)</f>
        <v>0</v>
      </c>
      <c r="BA30" s="12">
        <f t="shared" ref="BA30" si="433">IF($H30*T30&gt;150000,ROUNDDOWN(($H30*T30-150000)*6%*45%,0),0)</f>
        <v>0</v>
      </c>
      <c r="BB30" s="12">
        <f t="shared" ref="BB30" si="434">IF($H30*U30&gt;150000,ROUNDDOWN(($H30*U30-150000)*6%*45%,0),0)</f>
        <v>0</v>
      </c>
      <c r="BC30" s="12">
        <f t="shared" ref="BC30" si="435">IF($H30*V30&gt;150000,ROUNDDOWN(($H30*V30-150000)*6%*45%,0),0)</f>
        <v>0</v>
      </c>
      <c r="BD30" s="13">
        <f t="shared" ref="BD30" si="436">IF($H30*W30&gt;150000,ROUNDDOWN(($H30*W30-150000)*6%*45%,0),0)</f>
        <v>0</v>
      </c>
      <c r="BE30" s="14"/>
    </row>
    <row r="31" spans="1:58" x14ac:dyDescent="0.3">
      <c r="A31" s="142"/>
      <c r="B31" s="116"/>
      <c r="C31" s="116"/>
      <c r="D31" s="143"/>
      <c r="E31" s="116"/>
      <c r="F31" s="116"/>
      <c r="G31" s="144"/>
      <c r="H31" s="112"/>
      <c r="I31" s="43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5"/>
      <c r="Y31" s="145"/>
      <c r="Z31" s="116"/>
      <c r="AA31" s="112"/>
      <c r="AB31" s="65">
        <f t="shared" ref="AB31" si="437">ROUNDDOWN(AB30*10%,-1)</f>
        <v>0</v>
      </c>
      <c r="AC31" s="66">
        <f t="shared" ref="AC31" ca="1" si="438">IFERROR(IF(AND( OR(COUNTIF(I30:X31, "&gt;0")&gt;=$AJ$1, AA30&gt;=$AJ$4),AN30&lt;60,AA30&lt;=$AH$5),ROUNDDOWN(ROUNDDOWN(AA30,-3)*$AH$4%,-1),IF(AND(COUNTIF(I30:X31,"&gt;0")&gt;=$AJ$1,AN30&lt;60,AA30&gt;$AH$5),$AJ$5,0)),0)</f>
        <v>0</v>
      </c>
      <c r="AD31" s="67">
        <f t="shared" ref="AD31" si="439">IF(Z30&gt;=$AJ$1,ROUNDDOWN(AD30*$AH$3%/($AH$2*2%),-1),0)</f>
        <v>0</v>
      </c>
      <c r="AE31" s="112"/>
      <c r="AF31" s="112"/>
      <c r="AG31" s="116"/>
      <c r="AH31" s="116"/>
      <c r="AI31" s="116"/>
      <c r="AJ31" s="115"/>
      <c r="AK31" s="114"/>
      <c r="AL31" s="149"/>
      <c r="AM31" s="115"/>
      <c r="AN31" s="113"/>
      <c r="AO31" s="112"/>
      <c r="AP31" s="15">
        <f t="shared" ref="AP31" si="440">IF($H30*I31&gt;150000,ROUNDDOWN(($H30*I31-150000)*6%*45%,0),0)</f>
        <v>0</v>
      </c>
      <c r="AQ31" s="16">
        <f t="shared" ref="AQ31" si="441">IF($H30*J31&gt;150000,ROUNDDOWN(($H30*J31-150000)*6%*45%,0),0)</f>
        <v>0</v>
      </c>
      <c r="AR31" s="16">
        <f t="shared" ref="AR31" si="442">IF($H30*K31&gt;150000,ROUNDDOWN(($H30*K31-150000)*6%*45%,0),0)</f>
        <v>0</v>
      </c>
      <c r="AS31" s="16">
        <f t="shared" ref="AS31" si="443">IF($H30*L31&gt;150000,ROUNDDOWN(($H30*L31-150000)*6%*45%,0),0)</f>
        <v>0</v>
      </c>
      <c r="AT31" s="16">
        <f t="shared" ref="AT31" si="444">IF($H30*M31&gt;150000,ROUNDDOWN(($H30*M31-150000)*6%*45%,0),0)</f>
        <v>0</v>
      </c>
      <c r="AU31" s="16">
        <f t="shared" ref="AU31" si="445">IF($H30*N31&gt;150000,ROUNDDOWN(($H30*N31-150000)*6%*45%,0),0)</f>
        <v>0</v>
      </c>
      <c r="AV31" s="16">
        <f t="shared" ref="AV31" si="446">IF($H30*O31&gt;150000,ROUNDDOWN(($H30*O31-150000)*6%*45%,0),0)</f>
        <v>0</v>
      </c>
      <c r="AW31" s="16">
        <f t="shared" ref="AW31" si="447">IF($H30*P31&gt;150000,ROUNDDOWN(($H30*P31-150000)*6%*45%,0),0)</f>
        <v>0</v>
      </c>
      <c r="AX31" s="16">
        <f t="shared" ref="AX31" si="448">IF($H30*Q31&gt;150000,ROUNDDOWN(($H30*Q31-150000)*6%*45%,0),0)</f>
        <v>0</v>
      </c>
      <c r="AY31" s="16">
        <f t="shared" ref="AY31" si="449">IF($H30*R31&gt;150000,ROUNDDOWN(($H30*R31-150000)*6%*45%,0),0)</f>
        <v>0</v>
      </c>
      <c r="AZ31" s="16">
        <f t="shared" ref="AZ31" si="450">IF($H30*S31&gt;150000,ROUNDDOWN(($H30*S31-150000)*6%*45%,0),0)</f>
        <v>0</v>
      </c>
      <c r="BA31" s="16">
        <f t="shared" ref="BA31" si="451">IF($H30*T31&gt;150000,ROUNDDOWN(($H30*T31-150000)*6%*45%,0),0)</f>
        <v>0</v>
      </c>
      <c r="BB31" s="16">
        <f t="shared" ref="BB31" si="452">IF($H30*U31&gt;150000,ROUNDDOWN(($H30*U31-150000)*6%*45%,0),0)</f>
        <v>0</v>
      </c>
      <c r="BC31" s="16">
        <f t="shared" ref="BC31" si="453">IF($H30*V31&gt;150000,ROUNDDOWN(($H30*V31-150000)*6%*45%,0),0)</f>
        <v>0</v>
      </c>
      <c r="BD31" s="16">
        <f t="shared" ref="BD31" si="454">IF($H30*W31&gt;150000,ROUNDDOWN(($H30*W31-150000)*6%*45%,0),0)</f>
        <v>0</v>
      </c>
      <c r="BE31" s="17">
        <f t="shared" ref="BE31" si="455">IF($H30*X31&gt;150000,ROUNDDOWN(($H30*X31-150000)*6%*45%,0),0)</f>
        <v>0</v>
      </c>
      <c r="BF31" s="28"/>
    </row>
    <row r="32" spans="1:58" x14ac:dyDescent="0.3">
      <c r="A32" s="142">
        <v>13</v>
      </c>
      <c r="B32" s="116" t="str">
        <f t="shared" ref="B32" si="456">IF(LEN(D32)&gt;1,IF(VALUE(MID(RIGHT(D32,7),1,1))&gt;4,"외국인",IF(VALUE(RIGHT(11-MOD((MID(D32,1,1)*2+MID(D32,2,1)*3+MID(D32,3,1)*4+MID(D32,4,1)*5+MID(D32,5,1)*6+MID(D32,6,1)*7+MID(RIGHT(D32,7),1,1)*8+MID(RIGHT(D32,7),2,1)*9+MID(RIGHT(D32,7),3,1)*2+MID(RIGHT(D32,7),4,1)*3+MID(RIGHT(D32,7),5,1)*4+MID(RIGHT(D32,7),6,1)*5),11),1))=VALUE(RIGHT(D32,1)),"","오류")),"")</f>
        <v/>
      </c>
      <c r="C32" s="116"/>
      <c r="D32" s="143"/>
      <c r="E32" s="116"/>
      <c r="F32" s="116"/>
      <c r="G32" s="144"/>
      <c r="H32" s="112"/>
      <c r="I32" s="38"/>
      <c r="J32" s="39"/>
      <c r="K32" s="39"/>
      <c r="L32" s="39"/>
      <c r="M32" s="39"/>
      <c r="N32" s="39"/>
      <c r="O32" s="39"/>
      <c r="P32" s="39"/>
      <c r="Q32" s="39"/>
      <c r="R32" s="39"/>
      <c r="S32" s="40"/>
      <c r="T32" s="40"/>
      <c r="U32" s="39"/>
      <c r="V32" s="39"/>
      <c r="W32" s="41"/>
      <c r="X32" s="42"/>
      <c r="Y32" s="145">
        <f>SUM(I32:X33)</f>
        <v>0</v>
      </c>
      <c r="Z32" s="116">
        <f>COUNTIF(I32:X33,"&gt;0")</f>
        <v>0</v>
      </c>
      <c r="AA32" s="112">
        <f t="shared" ref="AA32" si="457">H32*Y32</f>
        <v>0</v>
      </c>
      <c r="AB32" s="62">
        <f t="shared" ref="AB32" si="458">IF(AO32&lt;1000, 0, AO32)</f>
        <v>0</v>
      </c>
      <c r="AC32" s="63">
        <f ca="1">IF(IFERROR($AN32&lt;65,FALSE), IF(B32&lt;&gt;"외국인", ROUNDDOWN(AA32*$AH$1%,-1), IF(AND(AM32&lt;&gt;"", ISNUMBER(SEARCH(LEFT(SUBSTITUTE(AM32, "-",""),2), "F2_F5_F6"))), ROUNDDOWN(AA32*$AH$1%,-1), 0)),0)</f>
        <v>0</v>
      </c>
      <c r="AD32" s="64">
        <f t="shared" ref="AD32" si="459">IF(Z32&gt;=$AJ$1,ROUNDDOWN(AA32*$AH$2%,-1),0)</f>
        <v>0</v>
      </c>
      <c r="AE32" s="112">
        <f t="shared" ref="AE32" ca="1" si="460">AB32+AC32+AB33+AC33+AD32+AD33</f>
        <v>0</v>
      </c>
      <c r="AF32" s="112">
        <f t="shared" ref="AF32" ca="1" si="461">AA32-AE32</f>
        <v>0</v>
      </c>
      <c r="AG32" s="116"/>
      <c r="AH32" s="116"/>
      <c r="AI32" s="116"/>
      <c r="AJ32" s="115"/>
      <c r="AK32" s="114"/>
      <c r="AL32" s="149"/>
      <c r="AM32" s="115"/>
      <c r="AN32" s="113" t="str">
        <f t="shared" ref="AN32" ca="1" si="462">IFERROR(DATEDIF(DATE(IF(ISNUMBER(FIND(MID( SUBSTITUTE(D32, "-",""), 7, 1), "3478")), 2000, 1900)+MID(D32,1,2), MID(D32,3,2), MID(D32,5,2)), TODAY(), "Y"),"")</f>
        <v/>
      </c>
      <c r="AO32" s="112">
        <f>ROUNDDOWN(SUM(AP32:BE33),-1)</f>
        <v>0</v>
      </c>
      <c r="AP32" s="11">
        <f t="shared" ref="AP32" si="463">IF($H32*I32&gt;150000,ROUNDDOWN(($H32*I32-150000)*6%*45%,0),0)</f>
        <v>0</v>
      </c>
      <c r="AQ32" s="12">
        <f t="shared" ref="AQ32" si="464">IF($H32*J32&gt;150000,ROUNDDOWN(($H32*J32-150000)*6%*45%,0),0)</f>
        <v>0</v>
      </c>
      <c r="AR32" s="12">
        <f t="shared" ref="AR32" si="465">IF($H32*K32&gt;150000,ROUNDDOWN(($H32*K32-150000)*6%*45%,0),0)</f>
        <v>0</v>
      </c>
      <c r="AS32" s="12">
        <f t="shared" ref="AS32" si="466">IF($H32*L32&gt;150000,ROUNDDOWN(($H32*L32-150000)*6%*45%,0),0)</f>
        <v>0</v>
      </c>
      <c r="AT32" s="12">
        <f t="shared" ref="AT32" si="467">IF($H32*M32&gt;150000,ROUNDDOWN(($H32*M32-150000)*6%*45%,0),0)</f>
        <v>0</v>
      </c>
      <c r="AU32" s="12">
        <f t="shared" ref="AU32" si="468">IF($H32*N32&gt;150000,ROUNDDOWN(($H32*N32-150000)*6%*45%,0),0)</f>
        <v>0</v>
      </c>
      <c r="AV32" s="12">
        <f t="shared" ref="AV32" si="469">IF($H32*O32&gt;150000,ROUNDDOWN(($H32*O32-150000)*6%*45%,0),0)</f>
        <v>0</v>
      </c>
      <c r="AW32" s="12">
        <f t="shared" ref="AW32" si="470">IF($H32*P32&gt;150000,ROUNDDOWN(($H32*P32-150000)*6%*45%,0),0)</f>
        <v>0</v>
      </c>
      <c r="AX32" s="12">
        <f t="shared" ref="AX32" si="471">IF($H32*Q32&gt;150000,ROUNDDOWN(($H32*Q32-150000)*6%*45%,0),0)</f>
        <v>0</v>
      </c>
      <c r="AY32" s="12">
        <f t="shared" ref="AY32" si="472">IF($H32*R32&gt;150000,ROUNDDOWN(($H32*R32-150000)*6%*45%,0),0)</f>
        <v>0</v>
      </c>
      <c r="AZ32" s="12">
        <f t="shared" ref="AZ32" si="473">IF($H32*S32&gt;150000,ROUNDDOWN(($H32*S32-150000)*6%*45%,0),0)</f>
        <v>0</v>
      </c>
      <c r="BA32" s="12">
        <f t="shared" ref="BA32" si="474">IF($H32*T32&gt;150000,ROUNDDOWN(($H32*T32-150000)*6%*45%,0),0)</f>
        <v>0</v>
      </c>
      <c r="BB32" s="12">
        <f t="shared" ref="BB32" si="475">IF($H32*U32&gt;150000,ROUNDDOWN(($H32*U32-150000)*6%*45%,0),0)</f>
        <v>0</v>
      </c>
      <c r="BC32" s="12">
        <f t="shared" ref="BC32" si="476">IF($H32*V32&gt;150000,ROUNDDOWN(($H32*V32-150000)*6%*45%,0),0)</f>
        <v>0</v>
      </c>
      <c r="BD32" s="13">
        <f t="shared" ref="BD32" si="477">IF($H32*W32&gt;150000,ROUNDDOWN(($H32*W32-150000)*6%*45%,0),0)</f>
        <v>0</v>
      </c>
      <c r="BE32" s="14"/>
    </row>
    <row r="33" spans="1:58" x14ac:dyDescent="0.3">
      <c r="A33" s="142"/>
      <c r="B33" s="116"/>
      <c r="C33" s="116"/>
      <c r="D33" s="143"/>
      <c r="E33" s="116"/>
      <c r="F33" s="116"/>
      <c r="G33" s="144"/>
      <c r="H33" s="112"/>
      <c r="I33" s="43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5"/>
      <c r="Y33" s="145"/>
      <c r="Z33" s="116"/>
      <c r="AA33" s="112"/>
      <c r="AB33" s="65">
        <f t="shared" ref="AB33" si="478">ROUNDDOWN(AB32*10%,-1)</f>
        <v>0</v>
      </c>
      <c r="AC33" s="66">
        <f t="shared" ref="AC33" ca="1" si="479">IFERROR(IF(AND( OR(COUNTIF(I32:X33, "&gt;0")&gt;=$AJ$1, AA32&gt;=$AJ$4),AN32&lt;60,AA32&lt;=$AH$5),ROUNDDOWN(ROUNDDOWN(AA32,-3)*$AH$4%,-1),IF(AND(COUNTIF(I32:X33,"&gt;0")&gt;=$AJ$1,AN32&lt;60,AA32&gt;$AH$5),$AJ$5,0)),0)</f>
        <v>0</v>
      </c>
      <c r="AD33" s="67">
        <f t="shared" ref="AD33" si="480">IF(Z32&gt;=$AJ$1,ROUNDDOWN(AD32*$AH$3%/($AH$2*2%),-1),0)</f>
        <v>0</v>
      </c>
      <c r="AE33" s="112"/>
      <c r="AF33" s="112"/>
      <c r="AG33" s="116"/>
      <c r="AH33" s="116"/>
      <c r="AI33" s="116"/>
      <c r="AJ33" s="115"/>
      <c r="AK33" s="114"/>
      <c r="AL33" s="149"/>
      <c r="AM33" s="115"/>
      <c r="AN33" s="113"/>
      <c r="AO33" s="112"/>
      <c r="AP33" s="15">
        <f t="shared" ref="AP33" si="481">IF($H32*I33&gt;150000,ROUNDDOWN(($H32*I33-150000)*6%*45%,0),0)</f>
        <v>0</v>
      </c>
      <c r="AQ33" s="16">
        <f t="shared" ref="AQ33" si="482">IF($H32*J33&gt;150000,ROUNDDOWN(($H32*J33-150000)*6%*45%,0),0)</f>
        <v>0</v>
      </c>
      <c r="AR33" s="16">
        <f t="shared" ref="AR33" si="483">IF($H32*K33&gt;150000,ROUNDDOWN(($H32*K33-150000)*6%*45%,0),0)</f>
        <v>0</v>
      </c>
      <c r="AS33" s="16">
        <f t="shared" ref="AS33" si="484">IF($H32*L33&gt;150000,ROUNDDOWN(($H32*L33-150000)*6%*45%,0),0)</f>
        <v>0</v>
      </c>
      <c r="AT33" s="16">
        <f t="shared" ref="AT33" si="485">IF($H32*M33&gt;150000,ROUNDDOWN(($H32*M33-150000)*6%*45%,0),0)</f>
        <v>0</v>
      </c>
      <c r="AU33" s="16">
        <f t="shared" ref="AU33" si="486">IF($H32*N33&gt;150000,ROUNDDOWN(($H32*N33-150000)*6%*45%,0),0)</f>
        <v>0</v>
      </c>
      <c r="AV33" s="16">
        <f t="shared" ref="AV33" si="487">IF($H32*O33&gt;150000,ROUNDDOWN(($H32*O33-150000)*6%*45%,0),0)</f>
        <v>0</v>
      </c>
      <c r="AW33" s="16">
        <f t="shared" ref="AW33" si="488">IF($H32*P33&gt;150000,ROUNDDOWN(($H32*P33-150000)*6%*45%,0),0)</f>
        <v>0</v>
      </c>
      <c r="AX33" s="16">
        <f t="shared" ref="AX33" si="489">IF($H32*Q33&gt;150000,ROUNDDOWN(($H32*Q33-150000)*6%*45%,0),0)</f>
        <v>0</v>
      </c>
      <c r="AY33" s="16">
        <f t="shared" ref="AY33" si="490">IF($H32*R33&gt;150000,ROUNDDOWN(($H32*R33-150000)*6%*45%,0),0)</f>
        <v>0</v>
      </c>
      <c r="AZ33" s="16">
        <f t="shared" ref="AZ33" si="491">IF($H32*S33&gt;150000,ROUNDDOWN(($H32*S33-150000)*6%*45%,0),0)</f>
        <v>0</v>
      </c>
      <c r="BA33" s="16">
        <f t="shared" ref="BA33" si="492">IF($H32*T33&gt;150000,ROUNDDOWN(($H32*T33-150000)*6%*45%,0),0)</f>
        <v>0</v>
      </c>
      <c r="BB33" s="16">
        <f t="shared" ref="BB33" si="493">IF($H32*U33&gt;150000,ROUNDDOWN(($H32*U33-150000)*6%*45%,0),0)</f>
        <v>0</v>
      </c>
      <c r="BC33" s="16">
        <f t="shared" ref="BC33" si="494">IF($H32*V33&gt;150000,ROUNDDOWN(($H32*V33-150000)*6%*45%,0),0)</f>
        <v>0</v>
      </c>
      <c r="BD33" s="16">
        <f t="shared" ref="BD33" si="495">IF($H32*W33&gt;150000,ROUNDDOWN(($H32*W33-150000)*6%*45%,0),0)</f>
        <v>0</v>
      </c>
      <c r="BE33" s="17">
        <f t="shared" ref="BE33" si="496">IF($H32*X33&gt;150000,ROUNDDOWN(($H32*X33-150000)*6%*45%,0),0)</f>
        <v>0</v>
      </c>
      <c r="BF33" s="28"/>
    </row>
    <row r="34" spans="1:58" x14ac:dyDescent="0.3">
      <c r="A34" s="142">
        <v>14</v>
      </c>
      <c r="B34" s="116" t="str">
        <f t="shared" ref="B34" si="497">IF(LEN(D34)&gt;1,IF(VALUE(MID(RIGHT(D34,7),1,1))&gt;4,"외국인",IF(VALUE(RIGHT(11-MOD((MID(D34,1,1)*2+MID(D34,2,1)*3+MID(D34,3,1)*4+MID(D34,4,1)*5+MID(D34,5,1)*6+MID(D34,6,1)*7+MID(RIGHT(D34,7),1,1)*8+MID(RIGHT(D34,7),2,1)*9+MID(RIGHT(D34,7),3,1)*2+MID(RIGHT(D34,7),4,1)*3+MID(RIGHT(D34,7),5,1)*4+MID(RIGHT(D34,7),6,1)*5),11),1))=VALUE(RIGHT(D34,1)),"","오류")),"")</f>
        <v/>
      </c>
      <c r="C34" s="116"/>
      <c r="D34" s="143"/>
      <c r="E34" s="116"/>
      <c r="F34" s="116"/>
      <c r="G34" s="144"/>
      <c r="H34" s="112"/>
      <c r="I34" s="38"/>
      <c r="J34" s="39"/>
      <c r="K34" s="39"/>
      <c r="L34" s="39"/>
      <c r="M34" s="39"/>
      <c r="N34" s="39"/>
      <c r="O34" s="39"/>
      <c r="P34" s="39"/>
      <c r="Q34" s="39"/>
      <c r="R34" s="39"/>
      <c r="S34" s="40"/>
      <c r="T34" s="40"/>
      <c r="U34" s="39"/>
      <c r="V34" s="39"/>
      <c r="W34" s="41"/>
      <c r="X34" s="42"/>
      <c r="Y34" s="145">
        <f>SUM(I34:X35)</f>
        <v>0</v>
      </c>
      <c r="Z34" s="116">
        <f>COUNTIF(I34:X35,"&gt;0")</f>
        <v>0</v>
      </c>
      <c r="AA34" s="112">
        <f t="shared" ref="AA34" si="498">H34*Y34</f>
        <v>0</v>
      </c>
      <c r="AB34" s="62">
        <f t="shared" ref="AB34" si="499">IF(AO34&lt;1000, 0, AO34)</f>
        <v>0</v>
      </c>
      <c r="AC34" s="63">
        <f ca="1">IF(IFERROR($AN34&lt;65,FALSE), IF(B34&lt;&gt;"외국인", ROUNDDOWN(AA34*$AH$1%,-1), IF(AND(AM34&lt;&gt;"", ISNUMBER(SEARCH(LEFT(SUBSTITUTE(AM34, "-",""),2), "F2_F5_F6"))), ROUNDDOWN(AA34*$AH$1%,-1), 0)),0)</f>
        <v>0</v>
      </c>
      <c r="AD34" s="64">
        <f t="shared" ref="AD34" si="500">IF(Z34&gt;=$AJ$1,ROUNDDOWN(AA34*$AH$2%,-1),0)</f>
        <v>0</v>
      </c>
      <c r="AE34" s="112">
        <f t="shared" ref="AE34" ca="1" si="501">AB34+AC34+AB35+AC35+AD34+AD35</f>
        <v>0</v>
      </c>
      <c r="AF34" s="112">
        <f t="shared" ref="AF34" ca="1" si="502">AA34-AE34</f>
        <v>0</v>
      </c>
      <c r="AG34" s="116"/>
      <c r="AH34" s="116"/>
      <c r="AI34" s="116"/>
      <c r="AJ34" s="115"/>
      <c r="AK34" s="114"/>
      <c r="AL34" s="149"/>
      <c r="AM34" s="115"/>
      <c r="AN34" s="113" t="str">
        <f t="shared" ref="AN34" ca="1" si="503">IFERROR(DATEDIF(DATE(IF(ISNUMBER(FIND(MID( SUBSTITUTE(D34, "-",""), 7, 1), "3478")), 2000, 1900)+MID(D34,1,2), MID(D34,3,2), MID(D34,5,2)), TODAY(), "Y"),"")</f>
        <v/>
      </c>
      <c r="AO34" s="112">
        <f>ROUNDDOWN(SUM(AP34:BE35),-1)</f>
        <v>0</v>
      </c>
      <c r="AP34" s="11">
        <f t="shared" ref="AP34" si="504">IF($H34*I34&gt;150000,ROUNDDOWN(($H34*I34-150000)*6%*45%,0),0)</f>
        <v>0</v>
      </c>
      <c r="AQ34" s="12">
        <f t="shared" ref="AQ34" si="505">IF($H34*J34&gt;150000,ROUNDDOWN(($H34*J34-150000)*6%*45%,0),0)</f>
        <v>0</v>
      </c>
      <c r="AR34" s="12">
        <f t="shared" ref="AR34" si="506">IF($H34*K34&gt;150000,ROUNDDOWN(($H34*K34-150000)*6%*45%,0),0)</f>
        <v>0</v>
      </c>
      <c r="AS34" s="12">
        <f t="shared" ref="AS34" si="507">IF($H34*L34&gt;150000,ROUNDDOWN(($H34*L34-150000)*6%*45%,0),0)</f>
        <v>0</v>
      </c>
      <c r="AT34" s="12">
        <f t="shared" ref="AT34" si="508">IF($H34*M34&gt;150000,ROUNDDOWN(($H34*M34-150000)*6%*45%,0),0)</f>
        <v>0</v>
      </c>
      <c r="AU34" s="12">
        <f t="shared" ref="AU34" si="509">IF($H34*N34&gt;150000,ROUNDDOWN(($H34*N34-150000)*6%*45%,0),0)</f>
        <v>0</v>
      </c>
      <c r="AV34" s="12">
        <f t="shared" ref="AV34" si="510">IF($H34*O34&gt;150000,ROUNDDOWN(($H34*O34-150000)*6%*45%,0),0)</f>
        <v>0</v>
      </c>
      <c r="AW34" s="12">
        <f t="shared" ref="AW34" si="511">IF($H34*P34&gt;150000,ROUNDDOWN(($H34*P34-150000)*6%*45%,0),0)</f>
        <v>0</v>
      </c>
      <c r="AX34" s="12">
        <f t="shared" ref="AX34" si="512">IF($H34*Q34&gt;150000,ROUNDDOWN(($H34*Q34-150000)*6%*45%,0),0)</f>
        <v>0</v>
      </c>
      <c r="AY34" s="12">
        <f t="shared" ref="AY34" si="513">IF($H34*R34&gt;150000,ROUNDDOWN(($H34*R34-150000)*6%*45%,0),0)</f>
        <v>0</v>
      </c>
      <c r="AZ34" s="12">
        <f t="shared" ref="AZ34" si="514">IF($H34*S34&gt;150000,ROUNDDOWN(($H34*S34-150000)*6%*45%,0),0)</f>
        <v>0</v>
      </c>
      <c r="BA34" s="12">
        <f t="shared" ref="BA34" si="515">IF($H34*T34&gt;150000,ROUNDDOWN(($H34*T34-150000)*6%*45%,0),0)</f>
        <v>0</v>
      </c>
      <c r="BB34" s="12">
        <f t="shared" ref="BB34" si="516">IF($H34*U34&gt;150000,ROUNDDOWN(($H34*U34-150000)*6%*45%,0),0)</f>
        <v>0</v>
      </c>
      <c r="BC34" s="12">
        <f t="shared" ref="BC34" si="517">IF($H34*V34&gt;150000,ROUNDDOWN(($H34*V34-150000)*6%*45%,0),0)</f>
        <v>0</v>
      </c>
      <c r="BD34" s="13">
        <f t="shared" ref="BD34" si="518">IF($H34*W34&gt;150000,ROUNDDOWN(($H34*W34-150000)*6%*45%,0),0)</f>
        <v>0</v>
      </c>
      <c r="BE34" s="14"/>
    </row>
    <row r="35" spans="1:58" x14ac:dyDescent="0.3">
      <c r="A35" s="142"/>
      <c r="B35" s="116"/>
      <c r="C35" s="116"/>
      <c r="D35" s="143"/>
      <c r="E35" s="116"/>
      <c r="F35" s="116"/>
      <c r="G35" s="144"/>
      <c r="H35" s="112"/>
      <c r="I35" s="43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5"/>
      <c r="Y35" s="145"/>
      <c r="Z35" s="116"/>
      <c r="AA35" s="112"/>
      <c r="AB35" s="65">
        <f t="shared" ref="AB35" si="519">ROUNDDOWN(AB34*10%,-1)</f>
        <v>0</v>
      </c>
      <c r="AC35" s="66">
        <f t="shared" ref="AC35" ca="1" si="520">IFERROR(IF(AND( OR(COUNTIF(I34:X35, "&gt;0")&gt;=$AJ$1, AA34&gt;=$AJ$4),AN34&lt;60,AA34&lt;=$AH$5),ROUNDDOWN(ROUNDDOWN(AA34,-3)*$AH$4%,-1),IF(AND(COUNTIF(I34:X35,"&gt;0")&gt;=$AJ$1,AN34&lt;60,AA34&gt;$AH$5),$AJ$5,0)),0)</f>
        <v>0</v>
      </c>
      <c r="AD35" s="67">
        <f t="shared" ref="AD35" si="521">IF(Z34&gt;=$AJ$1,ROUNDDOWN(AD34*$AH$3%/($AH$2*2%),-1),0)</f>
        <v>0</v>
      </c>
      <c r="AE35" s="112"/>
      <c r="AF35" s="112"/>
      <c r="AG35" s="116"/>
      <c r="AH35" s="116"/>
      <c r="AI35" s="116"/>
      <c r="AJ35" s="115"/>
      <c r="AK35" s="114"/>
      <c r="AL35" s="149"/>
      <c r="AM35" s="115"/>
      <c r="AN35" s="113"/>
      <c r="AO35" s="112"/>
      <c r="AP35" s="15">
        <f t="shared" ref="AP35" si="522">IF($H34*I35&gt;150000,ROUNDDOWN(($H34*I35-150000)*6%*45%,0),0)</f>
        <v>0</v>
      </c>
      <c r="AQ35" s="16">
        <f t="shared" ref="AQ35" si="523">IF($H34*J35&gt;150000,ROUNDDOWN(($H34*J35-150000)*6%*45%,0),0)</f>
        <v>0</v>
      </c>
      <c r="AR35" s="16">
        <f t="shared" ref="AR35" si="524">IF($H34*K35&gt;150000,ROUNDDOWN(($H34*K35-150000)*6%*45%,0),0)</f>
        <v>0</v>
      </c>
      <c r="AS35" s="16">
        <f t="shared" ref="AS35" si="525">IF($H34*L35&gt;150000,ROUNDDOWN(($H34*L35-150000)*6%*45%,0),0)</f>
        <v>0</v>
      </c>
      <c r="AT35" s="16">
        <f t="shared" ref="AT35" si="526">IF($H34*M35&gt;150000,ROUNDDOWN(($H34*M35-150000)*6%*45%,0),0)</f>
        <v>0</v>
      </c>
      <c r="AU35" s="16">
        <f t="shared" ref="AU35" si="527">IF($H34*N35&gt;150000,ROUNDDOWN(($H34*N35-150000)*6%*45%,0),0)</f>
        <v>0</v>
      </c>
      <c r="AV35" s="16">
        <f t="shared" ref="AV35" si="528">IF($H34*O35&gt;150000,ROUNDDOWN(($H34*O35-150000)*6%*45%,0),0)</f>
        <v>0</v>
      </c>
      <c r="AW35" s="16">
        <f t="shared" ref="AW35" si="529">IF($H34*P35&gt;150000,ROUNDDOWN(($H34*P35-150000)*6%*45%,0),0)</f>
        <v>0</v>
      </c>
      <c r="AX35" s="16">
        <f t="shared" ref="AX35" si="530">IF($H34*Q35&gt;150000,ROUNDDOWN(($H34*Q35-150000)*6%*45%,0),0)</f>
        <v>0</v>
      </c>
      <c r="AY35" s="16">
        <f t="shared" ref="AY35" si="531">IF($H34*R35&gt;150000,ROUNDDOWN(($H34*R35-150000)*6%*45%,0),0)</f>
        <v>0</v>
      </c>
      <c r="AZ35" s="16">
        <f t="shared" ref="AZ35" si="532">IF($H34*S35&gt;150000,ROUNDDOWN(($H34*S35-150000)*6%*45%,0),0)</f>
        <v>0</v>
      </c>
      <c r="BA35" s="16">
        <f t="shared" ref="BA35" si="533">IF($H34*T35&gt;150000,ROUNDDOWN(($H34*T35-150000)*6%*45%,0),0)</f>
        <v>0</v>
      </c>
      <c r="BB35" s="16">
        <f t="shared" ref="BB35" si="534">IF($H34*U35&gt;150000,ROUNDDOWN(($H34*U35-150000)*6%*45%,0),0)</f>
        <v>0</v>
      </c>
      <c r="BC35" s="16">
        <f t="shared" ref="BC35" si="535">IF($H34*V35&gt;150000,ROUNDDOWN(($H34*V35-150000)*6%*45%,0),0)</f>
        <v>0</v>
      </c>
      <c r="BD35" s="16">
        <f t="shared" ref="BD35" si="536">IF($H34*W35&gt;150000,ROUNDDOWN(($H34*W35-150000)*6%*45%,0),0)</f>
        <v>0</v>
      </c>
      <c r="BE35" s="17">
        <f t="shared" ref="BE35" si="537">IF($H34*X35&gt;150000,ROUNDDOWN(($H34*X35-150000)*6%*45%,0),0)</f>
        <v>0</v>
      </c>
      <c r="BF35" s="28"/>
    </row>
    <row r="36" spans="1:58" x14ac:dyDescent="0.3">
      <c r="A36" s="142">
        <v>15</v>
      </c>
      <c r="B36" s="116" t="str">
        <f t="shared" ref="B36" si="538">IF(LEN(D36)&gt;1,IF(VALUE(MID(RIGHT(D36,7),1,1))&gt;4,"외국인",IF(VALUE(RIGHT(11-MOD((MID(D36,1,1)*2+MID(D36,2,1)*3+MID(D36,3,1)*4+MID(D36,4,1)*5+MID(D36,5,1)*6+MID(D36,6,1)*7+MID(RIGHT(D36,7),1,1)*8+MID(RIGHT(D36,7),2,1)*9+MID(RIGHT(D36,7),3,1)*2+MID(RIGHT(D36,7),4,1)*3+MID(RIGHT(D36,7),5,1)*4+MID(RIGHT(D36,7),6,1)*5),11),1))=VALUE(RIGHT(D36,1)),"","오류")),"")</f>
        <v/>
      </c>
      <c r="C36" s="116"/>
      <c r="D36" s="143"/>
      <c r="E36" s="116"/>
      <c r="F36" s="116"/>
      <c r="G36" s="144"/>
      <c r="H36" s="112"/>
      <c r="I36" s="38"/>
      <c r="J36" s="39"/>
      <c r="K36" s="39"/>
      <c r="L36" s="39"/>
      <c r="M36" s="39"/>
      <c r="N36" s="39"/>
      <c r="O36" s="39"/>
      <c r="P36" s="39"/>
      <c r="Q36" s="39"/>
      <c r="R36" s="39"/>
      <c r="S36" s="40"/>
      <c r="T36" s="40"/>
      <c r="U36" s="39"/>
      <c r="V36" s="39"/>
      <c r="W36" s="41"/>
      <c r="X36" s="42"/>
      <c r="Y36" s="145">
        <f>SUM(I36:X37)</f>
        <v>0</v>
      </c>
      <c r="Z36" s="116">
        <f>COUNTIF(I36:X37,"&gt;0")</f>
        <v>0</v>
      </c>
      <c r="AA36" s="112">
        <f t="shared" ref="AA36" si="539">H36*Y36</f>
        <v>0</v>
      </c>
      <c r="AB36" s="62">
        <f t="shared" ref="AB36" si="540">IF(AO36&lt;1000, 0, AO36)</f>
        <v>0</v>
      </c>
      <c r="AC36" s="63">
        <f ca="1">IF(IFERROR($AN36&lt;65,FALSE), IF(B36&lt;&gt;"외국인", ROUNDDOWN(AA36*$AH$1%,-1), IF(AND(AM36&lt;&gt;"", ISNUMBER(SEARCH(LEFT(SUBSTITUTE(AM36, "-",""),2), "F2_F5_F6"))), ROUNDDOWN(AA36*$AH$1%,-1), 0)),0)</f>
        <v>0</v>
      </c>
      <c r="AD36" s="64">
        <f t="shared" ref="AD36" si="541">IF(Z36&gt;=$AJ$1,ROUNDDOWN(AA36*$AH$2%,-1),0)</f>
        <v>0</v>
      </c>
      <c r="AE36" s="112">
        <f t="shared" ref="AE36" ca="1" si="542">AB36+AC36+AB37+AC37+AD36+AD37</f>
        <v>0</v>
      </c>
      <c r="AF36" s="112">
        <f t="shared" ref="AF36" ca="1" si="543">AA36-AE36</f>
        <v>0</v>
      </c>
      <c r="AG36" s="116"/>
      <c r="AH36" s="116"/>
      <c r="AI36" s="116"/>
      <c r="AJ36" s="115"/>
      <c r="AK36" s="114"/>
      <c r="AL36" s="149"/>
      <c r="AM36" s="115"/>
      <c r="AN36" s="113" t="str">
        <f t="shared" ref="AN36" ca="1" si="544">IFERROR(DATEDIF(DATE(IF(ISNUMBER(FIND(MID( SUBSTITUTE(D36, "-",""), 7, 1), "3478")), 2000, 1900)+MID(D36,1,2), MID(D36,3,2), MID(D36,5,2)), TODAY(), "Y"),"")</f>
        <v/>
      </c>
      <c r="AO36" s="112">
        <f>ROUNDDOWN(SUM(AP36:BE37),-1)</f>
        <v>0</v>
      </c>
      <c r="AP36" s="11">
        <f t="shared" ref="AP36" si="545">IF($H36*I36&gt;150000,ROUNDDOWN(($H36*I36-150000)*6%*45%,0),0)</f>
        <v>0</v>
      </c>
      <c r="AQ36" s="12">
        <f t="shared" ref="AQ36" si="546">IF($H36*J36&gt;150000,ROUNDDOWN(($H36*J36-150000)*6%*45%,0),0)</f>
        <v>0</v>
      </c>
      <c r="AR36" s="12">
        <f t="shared" ref="AR36" si="547">IF($H36*K36&gt;150000,ROUNDDOWN(($H36*K36-150000)*6%*45%,0),0)</f>
        <v>0</v>
      </c>
      <c r="AS36" s="12">
        <f t="shared" ref="AS36" si="548">IF($H36*L36&gt;150000,ROUNDDOWN(($H36*L36-150000)*6%*45%,0),0)</f>
        <v>0</v>
      </c>
      <c r="AT36" s="12">
        <f t="shared" ref="AT36" si="549">IF($H36*M36&gt;150000,ROUNDDOWN(($H36*M36-150000)*6%*45%,0),0)</f>
        <v>0</v>
      </c>
      <c r="AU36" s="12">
        <f t="shared" ref="AU36" si="550">IF($H36*N36&gt;150000,ROUNDDOWN(($H36*N36-150000)*6%*45%,0),0)</f>
        <v>0</v>
      </c>
      <c r="AV36" s="12">
        <f t="shared" ref="AV36" si="551">IF($H36*O36&gt;150000,ROUNDDOWN(($H36*O36-150000)*6%*45%,0),0)</f>
        <v>0</v>
      </c>
      <c r="AW36" s="12">
        <f t="shared" ref="AW36" si="552">IF($H36*P36&gt;150000,ROUNDDOWN(($H36*P36-150000)*6%*45%,0),0)</f>
        <v>0</v>
      </c>
      <c r="AX36" s="12">
        <f t="shared" ref="AX36" si="553">IF($H36*Q36&gt;150000,ROUNDDOWN(($H36*Q36-150000)*6%*45%,0),0)</f>
        <v>0</v>
      </c>
      <c r="AY36" s="12">
        <f t="shared" ref="AY36" si="554">IF($H36*R36&gt;150000,ROUNDDOWN(($H36*R36-150000)*6%*45%,0),0)</f>
        <v>0</v>
      </c>
      <c r="AZ36" s="12">
        <f t="shared" ref="AZ36" si="555">IF($H36*S36&gt;150000,ROUNDDOWN(($H36*S36-150000)*6%*45%,0),0)</f>
        <v>0</v>
      </c>
      <c r="BA36" s="12">
        <f t="shared" ref="BA36" si="556">IF($H36*T36&gt;150000,ROUNDDOWN(($H36*T36-150000)*6%*45%,0),0)</f>
        <v>0</v>
      </c>
      <c r="BB36" s="12">
        <f t="shared" ref="BB36" si="557">IF($H36*U36&gt;150000,ROUNDDOWN(($H36*U36-150000)*6%*45%,0),0)</f>
        <v>0</v>
      </c>
      <c r="BC36" s="12">
        <f t="shared" ref="BC36" si="558">IF($H36*V36&gt;150000,ROUNDDOWN(($H36*V36-150000)*6%*45%,0),0)</f>
        <v>0</v>
      </c>
      <c r="BD36" s="13">
        <f t="shared" ref="BD36" si="559">IF($H36*W36&gt;150000,ROUNDDOWN(($H36*W36-150000)*6%*45%,0),0)</f>
        <v>0</v>
      </c>
      <c r="BE36" s="14"/>
    </row>
    <row r="37" spans="1:58" x14ac:dyDescent="0.3">
      <c r="A37" s="142"/>
      <c r="B37" s="116"/>
      <c r="C37" s="116"/>
      <c r="D37" s="143"/>
      <c r="E37" s="116"/>
      <c r="F37" s="116"/>
      <c r="G37" s="144"/>
      <c r="H37" s="112"/>
      <c r="I37" s="4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5"/>
      <c r="Y37" s="145"/>
      <c r="Z37" s="116"/>
      <c r="AA37" s="112"/>
      <c r="AB37" s="65">
        <f t="shared" ref="AB37" si="560">ROUNDDOWN(AB36*10%,-1)</f>
        <v>0</v>
      </c>
      <c r="AC37" s="66">
        <f t="shared" ref="AC37" ca="1" si="561">IFERROR(IF(AND( OR(COUNTIF(I36:X37, "&gt;0")&gt;=$AJ$1, AA36&gt;=$AJ$4),AN36&lt;60,AA36&lt;=$AH$5),ROUNDDOWN(ROUNDDOWN(AA36,-3)*$AH$4%,-1),IF(AND(COUNTIF(I36:X37,"&gt;0")&gt;=$AJ$1,AN36&lt;60,AA36&gt;$AH$5),$AJ$5,0)),0)</f>
        <v>0</v>
      </c>
      <c r="AD37" s="67">
        <f t="shared" ref="AD37" si="562">IF(Z36&gt;=$AJ$1,ROUNDDOWN(AD36*$AH$3%/($AH$2*2%),-1),0)</f>
        <v>0</v>
      </c>
      <c r="AE37" s="112"/>
      <c r="AF37" s="112"/>
      <c r="AG37" s="116"/>
      <c r="AH37" s="116"/>
      <c r="AI37" s="116"/>
      <c r="AJ37" s="115"/>
      <c r="AK37" s="114"/>
      <c r="AL37" s="149"/>
      <c r="AM37" s="115"/>
      <c r="AN37" s="113"/>
      <c r="AO37" s="112"/>
      <c r="AP37" s="15">
        <f t="shared" ref="AP37" si="563">IF($H36*I37&gt;150000,ROUNDDOWN(($H36*I37-150000)*6%*45%,0),0)</f>
        <v>0</v>
      </c>
      <c r="AQ37" s="16">
        <f t="shared" ref="AQ37" si="564">IF($H36*J37&gt;150000,ROUNDDOWN(($H36*J37-150000)*6%*45%,0),0)</f>
        <v>0</v>
      </c>
      <c r="AR37" s="16">
        <f t="shared" ref="AR37" si="565">IF($H36*K37&gt;150000,ROUNDDOWN(($H36*K37-150000)*6%*45%,0),0)</f>
        <v>0</v>
      </c>
      <c r="AS37" s="16">
        <f t="shared" ref="AS37" si="566">IF($H36*L37&gt;150000,ROUNDDOWN(($H36*L37-150000)*6%*45%,0),0)</f>
        <v>0</v>
      </c>
      <c r="AT37" s="16">
        <f t="shared" ref="AT37" si="567">IF($H36*M37&gt;150000,ROUNDDOWN(($H36*M37-150000)*6%*45%,0),0)</f>
        <v>0</v>
      </c>
      <c r="AU37" s="16">
        <f t="shared" ref="AU37" si="568">IF($H36*N37&gt;150000,ROUNDDOWN(($H36*N37-150000)*6%*45%,0),0)</f>
        <v>0</v>
      </c>
      <c r="AV37" s="16">
        <f t="shared" ref="AV37" si="569">IF($H36*O37&gt;150000,ROUNDDOWN(($H36*O37-150000)*6%*45%,0),0)</f>
        <v>0</v>
      </c>
      <c r="AW37" s="16">
        <f t="shared" ref="AW37" si="570">IF($H36*P37&gt;150000,ROUNDDOWN(($H36*P37-150000)*6%*45%,0),0)</f>
        <v>0</v>
      </c>
      <c r="AX37" s="16">
        <f t="shared" ref="AX37" si="571">IF($H36*Q37&gt;150000,ROUNDDOWN(($H36*Q37-150000)*6%*45%,0),0)</f>
        <v>0</v>
      </c>
      <c r="AY37" s="16">
        <f t="shared" ref="AY37" si="572">IF($H36*R37&gt;150000,ROUNDDOWN(($H36*R37-150000)*6%*45%,0),0)</f>
        <v>0</v>
      </c>
      <c r="AZ37" s="16">
        <f t="shared" ref="AZ37" si="573">IF($H36*S37&gt;150000,ROUNDDOWN(($H36*S37-150000)*6%*45%,0),0)</f>
        <v>0</v>
      </c>
      <c r="BA37" s="16">
        <f t="shared" ref="BA37" si="574">IF($H36*T37&gt;150000,ROUNDDOWN(($H36*T37-150000)*6%*45%,0),0)</f>
        <v>0</v>
      </c>
      <c r="BB37" s="16">
        <f t="shared" ref="BB37" si="575">IF($H36*U37&gt;150000,ROUNDDOWN(($H36*U37-150000)*6%*45%,0),0)</f>
        <v>0</v>
      </c>
      <c r="BC37" s="16">
        <f t="shared" ref="BC37" si="576">IF($H36*V37&gt;150000,ROUNDDOWN(($H36*V37-150000)*6%*45%,0),0)</f>
        <v>0</v>
      </c>
      <c r="BD37" s="16">
        <f t="shared" ref="BD37" si="577">IF($H36*W37&gt;150000,ROUNDDOWN(($H36*W37-150000)*6%*45%,0),0)</f>
        <v>0</v>
      </c>
      <c r="BE37" s="17">
        <f t="shared" ref="BE37" si="578">IF($H36*X37&gt;150000,ROUNDDOWN(($H36*X37-150000)*6%*45%,0),0)</f>
        <v>0</v>
      </c>
      <c r="BF37" s="28"/>
    </row>
    <row r="38" spans="1:58" x14ac:dyDescent="0.3">
      <c r="A38" s="142">
        <v>16</v>
      </c>
      <c r="B38" s="116" t="str">
        <f t="shared" ref="B38" si="579">IF(LEN(D38)&gt;1,IF(VALUE(MID(RIGHT(D38,7),1,1))&gt;4,"외국인",IF(VALUE(RIGHT(11-MOD((MID(D38,1,1)*2+MID(D38,2,1)*3+MID(D38,3,1)*4+MID(D38,4,1)*5+MID(D38,5,1)*6+MID(D38,6,1)*7+MID(RIGHT(D38,7),1,1)*8+MID(RIGHT(D38,7),2,1)*9+MID(RIGHT(D38,7),3,1)*2+MID(RIGHT(D38,7),4,1)*3+MID(RIGHT(D38,7),5,1)*4+MID(RIGHT(D38,7),6,1)*5),11),1))=VALUE(RIGHT(D38,1)),"","오류")),"")</f>
        <v/>
      </c>
      <c r="C38" s="116"/>
      <c r="D38" s="143"/>
      <c r="E38" s="116"/>
      <c r="F38" s="116"/>
      <c r="G38" s="144"/>
      <c r="H38" s="112"/>
      <c r="I38" s="38"/>
      <c r="J38" s="39"/>
      <c r="K38" s="39"/>
      <c r="L38" s="39"/>
      <c r="M38" s="39"/>
      <c r="N38" s="39"/>
      <c r="O38" s="39"/>
      <c r="P38" s="39"/>
      <c r="Q38" s="39"/>
      <c r="R38" s="39"/>
      <c r="S38" s="40"/>
      <c r="T38" s="40"/>
      <c r="U38" s="39"/>
      <c r="V38" s="39"/>
      <c r="W38" s="41"/>
      <c r="X38" s="42"/>
      <c r="Y38" s="145">
        <f>SUM(I38:X39)</f>
        <v>0</v>
      </c>
      <c r="Z38" s="116">
        <f>COUNTIF(I38:X39,"&gt;0")</f>
        <v>0</v>
      </c>
      <c r="AA38" s="112">
        <f t="shared" ref="AA38" si="580">H38*Y38</f>
        <v>0</v>
      </c>
      <c r="AB38" s="62">
        <f t="shared" ref="AB38" si="581">IF(AO38&lt;1000, 0, AO38)</f>
        <v>0</v>
      </c>
      <c r="AC38" s="63">
        <f ca="1">IF(IFERROR($AN38&lt;65,FALSE), IF(B38&lt;&gt;"외국인", ROUNDDOWN(AA38*$AH$1%,-1), IF(AND(AM38&lt;&gt;"", ISNUMBER(SEARCH(LEFT(SUBSTITUTE(AM38, "-",""),2), "F2_F5_F6"))), ROUNDDOWN(AA38*$AH$1%,-1), 0)),0)</f>
        <v>0</v>
      </c>
      <c r="AD38" s="64">
        <f t="shared" ref="AD38" si="582">IF(Z38&gt;=$AJ$1,ROUNDDOWN(AA38*$AH$2%,-1),0)</f>
        <v>0</v>
      </c>
      <c r="AE38" s="112">
        <f t="shared" ref="AE38" ca="1" si="583">AB38+AC38+AB39+AC39+AD38+AD39</f>
        <v>0</v>
      </c>
      <c r="AF38" s="112">
        <f t="shared" ref="AF38" ca="1" si="584">AA38-AE38</f>
        <v>0</v>
      </c>
      <c r="AG38" s="116"/>
      <c r="AH38" s="116"/>
      <c r="AI38" s="116"/>
      <c r="AJ38" s="115"/>
      <c r="AK38" s="114"/>
      <c r="AL38" s="149"/>
      <c r="AM38" s="115"/>
      <c r="AN38" s="113" t="str">
        <f t="shared" ref="AN38" ca="1" si="585">IFERROR(DATEDIF(DATE(IF(ISNUMBER(FIND(MID( SUBSTITUTE(D38, "-",""), 7, 1), "3478")), 2000, 1900)+MID(D38,1,2), MID(D38,3,2), MID(D38,5,2)), TODAY(), "Y"),"")</f>
        <v/>
      </c>
      <c r="AO38" s="112">
        <f>ROUNDDOWN(SUM(AP38:BE39),-1)</f>
        <v>0</v>
      </c>
      <c r="AP38" s="11">
        <f t="shared" ref="AP38" si="586">IF($H38*I38&gt;150000,ROUNDDOWN(($H38*I38-150000)*6%*45%,0),0)</f>
        <v>0</v>
      </c>
      <c r="AQ38" s="12">
        <f t="shared" ref="AQ38" si="587">IF($H38*J38&gt;150000,ROUNDDOWN(($H38*J38-150000)*6%*45%,0),0)</f>
        <v>0</v>
      </c>
      <c r="AR38" s="12">
        <f t="shared" ref="AR38" si="588">IF($H38*K38&gt;150000,ROUNDDOWN(($H38*K38-150000)*6%*45%,0),0)</f>
        <v>0</v>
      </c>
      <c r="AS38" s="12">
        <f t="shared" ref="AS38" si="589">IF($H38*L38&gt;150000,ROUNDDOWN(($H38*L38-150000)*6%*45%,0),0)</f>
        <v>0</v>
      </c>
      <c r="AT38" s="12">
        <f t="shared" ref="AT38" si="590">IF($H38*M38&gt;150000,ROUNDDOWN(($H38*M38-150000)*6%*45%,0),0)</f>
        <v>0</v>
      </c>
      <c r="AU38" s="12">
        <f t="shared" ref="AU38" si="591">IF($H38*N38&gt;150000,ROUNDDOWN(($H38*N38-150000)*6%*45%,0),0)</f>
        <v>0</v>
      </c>
      <c r="AV38" s="12">
        <f t="shared" ref="AV38" si="592">IF($H38*O38&gt;150000,ROUNDDOWN(($H38*O38-150000)*6%*45%,0),0)</f>
        <v>0</v>
      </c>
      <c r="AW38" s="12">
        <f t="shared" ref="AW38" si="593">IF($H38*P38&gt;150000,ROUNDDOWN(($H38*P38-150000)*6%*45%,0),0)</f>
        <v>0</v>
      </c>
      <c r="AX38" s="12">
        <f t="shared" ref="AX38" si="594">IF($H38*Q38&gt;150000,ROUNDDOWN(($H38*Q38-150000)*6%*45%,0),0)</f>
        <v>0</v>
      </c>
      <c r="AY38" s="12">
        <f t="shared" ref="AY38" si="595">IF($H38*R38&gt;150000,ROUNDDOWN(($H38*R38-150000)*6%*45%,0),0)</f>
        <v>0</v>
      </c>
      <c r="AZ38" s="12">
        <f t="shared" ref="AZ38" si="596">IF($H38*S38&gt;150000,ROUNDDOWN(($H38*S38-150000)*6%*45%,0),0)</f>
        <v>0</v>
      </c>
      <c r="BA38" s="12">
        <f t="shared" ref="BA38" si="597">IF($H38*T38&gt;150000,ROUNDDOWN(($H38*T38-150000)*6%*45%,0),0)</f>
        <v>0</v>
      </c>
      <c r="BB38" s="12">
        <f t="shared" ref="BB38" si="598">IF($H38*U38&gt;150000,ROUNDDOWN(($H38*U38-150000)*6%*45%,0),0)</f>
        <v>0</v>
      </c>
      <c r="BC38" s="12">
        <f t="shared" ref="BC38" si="599">IF($H38*V38&gt;150000,ROUNDDOWN(($H38*V38-150000)*6%*45%,0),0)</f>
        <v>0</v>
      </c>
      <c r="BD38" s="13">
        <f t="shared" ref="BD38" si="600">IF($H38*W38&gt;150000,ROUNDDOWN(($H38*W38-150000)*6%*45%,0),0)</f>
        <v>0</v>
      </c>
      <c r="BE38" s="14"/>
    </row>
    <row r="39" spans="1:58" x14ac:dyDescent="0.3">
      <c r="A39" s="142"/>
      <c r="B39" s="116"/>
      <c r="C39" s="116"/>
      <c r="D39" s="143"/>
      <c r="E39" s="116"/>
      <c r="F39" s="116"/>
      <c r="G39" s="144"/>
      <c r="H39" s="112"/>
      <c r="I39" s="43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5"/>
      <c r="Y39" s="145"/>
      <c r="Z39" s="116"/>
      <c r="AA39" s="112"/>
      <c r="AB39" s="65">
        <f t="shared" ref="AB39" si="601">ROUNDDOWN(AB38*10%,-1)</f>
        <v>0</v>
      </c>
      <c r="AC39" s="66">
        <f t="shared" ref="AC39" ca="1" si="602">IFERROR(IF(AND( OR(COUNTIF(I38:X39, "&gt;0")&gt;=$AJ$1, AA38&gt;=$AJ$4),AN38&lt;60,AA38&lt;=$AH$5),ROUNDDOWN(ROUNDDOWN(AA38,-3)*$AH$4%,-1),IF(AND(COUNTIF(I38:X39,"&gt;0")&gt;=$AJ$1,AN38&lt;60,AA38&gt;$AH$5),$AJ$5,0)),0)</f>
        <v>0</v>
      </c>
      <c r="AD39" s="67">
        <f t="shared" ref="AD39" si="603">IF(Z38&gt;=$AJ$1,ROUNDDOWN(AD38*$AH$3%/($AH$2*2%),-1),0)</f>
        <v>0</v>
      </c>
      <c r="AE39" s="112"/>
      <c r="AF39" s="112"/>
      <c r="AG39" s="116"/>
      <c r="AH39" s="116"/>
      <c r="AI39" s="116"/>
      <c r="AJ39" s="115"/>
      <c r="AK39" s="114"/>
      <c r="AL39" s="149"/>
      <c r="AM39" s="115"/>
      <c r="AN39" s="113"/>
      <c r="AO39" s="112"/>
      <c r="AP39" s="15">
        <f t="shared" ref="AP39" si="604">IF($H38*I39&gt;150000,ROUNDDOWN(($H38*I39-150000)*6%*45%,0),0)</f>
        <v>0</v>
      </c>
      <c r="AQ39" s="16">
        <f t="shared" ref="AQ39" si="605">IF($H38*J39&gt;150000,ROUNDDOWN(($H38*J39-150000)*6%*45%,0),0)</f>
        <v>0</v>
      </c>
      <c r="AR39" s="16">
        <f t="shared" ref="AR39" si="606">IF($H38*K39&gt;150000,ROUNDDOWN(($H38*K39-150000)*6%*45%,0),0)</f>
        <v>0</v>
      </c>
      <c r="AS39" s="16">
        <f t="shared" ref="AS39" si="607">IF($H38*L39&gt;150000,ROUNDDOWN(($H38*L39-150000)*6%*45%,0),0)</f>
        <v>0</v>
      </c>
      <c r="AT39" s="16">
        <f t="shared" ref="AT39" si="608">IF($H38*M39&gt;150000,ROUNDDOWN(($H38*M39-150000)*6%*45%,0),0)</f>
        <v>0</v>
      </c>
      <c r="AU39" s="16">
        <f t="shared" ref="AU39" si="609">IF($H38*N39&gt;150000,ROUNDDOWN(($H38*N39-150000)*6%*45%,0),0)</f>
        <v>0</v>
      </c>
      <c r="AV39" s="16">
        <f t="shared" ref="AV39" si="610">IF($H38*O39&gt;150000,ROUNDDOWN(($H38*O39-150000)*6%*45%,0),0)</f>
        <v>0</v>
      </c>
      <c r="AW39" s="16">
        <f t="shared" ref="AW39" si="611">IF($H38*P39&gt;150000,ROUNDDOWN(($H38*P39-150000)*6%*45%,0),0)</f>
        <v>0</v>
      </c>
      <c r="AX39" s="16">
        <f t="shared" ref="AX39" si="612">IF($H38*Q39&gt;150000,ROUNDDOWN(($H38*Q39-150000)*6%*45%,0),0)</f>
        <v>0</v>
      </c>
      <c r="AY39" s="16">
        <f t="shared" ref="AY39" si="613">IF($H38*R39&gt;150000,ROUNDDOWN(($H38*R39-150000)*6%*45%,0),0)</f>
        <v>0</v>
      </c>
      <c r="AZ39" s="16">
        <f t="shared" ref="AZ39" si="614">IF($H38*S39&gt;150000,ROUNDDOWN(($H38*S39-150000)*6%*45%,0),0)</f>
        <v>0</v>
      </c>
      <c r="BA39" s="16">
        <f t="shared" ref="BA39" si="615">IF($H38*T39&gt;150000,ROUNDDOWN(($H38*T39-150000)*6%*45%,0),0)</f>
        <v>0</v>
      </c>
      <c r="BB39" s="16">
        <f t="shared" ref="BB39" si="616">IF($H38*U39&gt;150000,ROUNDDOWN(($H38*U39-150000)*6%*45%,0),0)</f>
        <v>0</v>
      </c>
      <c r="BC39" s="16">
        <f t="shared" ref="BC39" si="617">IF($H38*V39&gt;150000,ROUNDDOWN(($H38*V39-150000)*6%*45%,0),0)</f>
        <v>0</v>
      </c>
      <c r="BD39" s="16">
        <f t="shared" ref="BD39" si="618">IF($H38*W39&gt;150000,ROUNDDOWN(($H38*W39-150000)*6%*45%,0),0)</f>
        <v>0</v>
      </c>
      <c r="BE39" s="17">
        <f t="shared" ref="BE39" si="619">IF($H38*X39&gt;150000,ROUNDDOWN(($H38*X39-150000)*6%*45%,0),0)</f>
        <v>0</v>
      </c>
      <c r="BF39" s="28"/>
    </row>
    <row r="40" spans="1:58" x14ac:dyDescent="0.3">
      <c r="A40" s="142">
        <v>17</v>
      </c>
      <c r="B40" s="116" t="str">
        <f t="shared" ref="B40" si="620">IF(LEN(D40)&gt;1,IF(VALUE(MID(RIGHT(D40,7),1,1))&gt;4,"외국인",IF(VALUE(RIGHT(11-MOD((MID(D40,1,1)*2+MID(D40,2,1)*3+MID(D40,3,1)*4+MID(D40,4,1)*5+MID(D40,5,1)*6+MID(D40,6,1)*7+MID(RIGHT(D40,7),1,1)*8+MID(RIGHT(D40,7),2,1)*9+MID(RIGHT(D40,7),3,1)*2+MID(RIGHT(D40,7),4,1)*3+MID(RIGHT(D40,7),5,1)*4+MID(RIGHT(D40,7),6,1)*5),11),1))=VALUE(RIGHT(D40,1)),"","오류")),"")</f>
        <v/>
      </c>
      <c r="C40" s="116"/>
      <c r="D40" s="143"/>
      <c r="E40" s="116"/>
      <c r="F40" s="116"/>
      <c r="G40" s="144"/>
      <c r="H40" s="112"/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40"/>
      <c r="T40" s="40"/>
      <c r="U40" s="39"/>
      <c r="V40" s="39"/>
      <c r="W40" s="41"/>
      <c r="X40" s="42"/>
      <c r="Y40" s="145">
        <f>SUM(I40:X41)</f>
        <v>0</v>
      </c>
      <c r="Z40" s="116">
        <f>COUNTIF(I40:X41,"&gt;0")</f>
        <v>0</v>
      </c>
      <c r="AA40" s="112">
        <f t="shared" ref="AA40" si="621">H40*Y40</f>
        <v>0</v>
      </c>
      <c r="AB40" s="62">
        <f t="shared" ref="AB40" si="622">IF(AO40&lt;1000, 0, AO40)</f>
        <v>0</v>
      </c>
      <c r="AC40" s="63">
        <f ca="1">IF(IFERROR($AN40&lt;65,FALSE), IF(B40&lt;&gt;"외국인", ROUNDDOWN(AA40*$AH$1%,-1), IF(AND(AM40&lt;&gt;"", ISNUMBER(SEARCH(LEFT(SUBSTITUTE(AM40, "-",""),2), "F2_F5_F6"))), ROUNDDOWN(AA40*$AH$1%,-1), 0)),0)</f>
        <v>0</v>
      </c>
      <c r="AD40" s="64">
        <f t="shared" ref="AD40" si="623">IF(Z40&gt;=$AJ$1,ROUNDDOWN(AA40*$AH$2%,-1),0)</f>
        <v>0</v>
      </c>
      <c r="AE40" s="112">
        <f t="shared" ref="AE40" ca="1" si="624">AB40+AC40+AB41+AC41+AD40+AD41</f>
        <v>0</v>
      </c>
      <c r="AF40" s="112">
        <f t="shared" ref="AF40" ca="1" si="625">AA40-AE40</f>
        <v>0</v>
      </c>
      <c r="AG40" s="116"/>
      <c r="AH40" s="116"/>
      <c r="AI40" s="116"/>
      <c r="AJ40" s="115"/>
      <c r="AK40" s="114"/>
      <c r="AL40" s="149"/>
      <c r="AM40" s="115"/>
      <c r="AN40" s="113" t="str">
        <f t="shared" ref="AN40" ca="1" si="626">IFERROR(DATEDIF(DATE(IF(ISNUMBER(FIND(MID( SUBSTITUTE(D40, "-",""), 7, 1), "3478")), 2000, 1900)+MID(D40,1,2), MID(D40,3,2), MID(D40,5,2)), TODAY(), "Y"),"")</f>
        <v/>
      </c>
      <c r="AO40" s="112">
        <f>ROUNDDOWN(SUM(AP40:BE41),-1)</f>
        <v>0</v>
      </c>
      <c r="AP40" s="11">
        <f t="shared" ref="AP40" si="627">IF($H40*I40&gt;150000,ROUNDDOWN(($H40*I40-150000)*6%*45%,0),0)</f>
        <v>0</v>
      </c>
      <c r="AQ40" s="12">
        <f t="shared" ref="AQ40" si="628">IF($H40*J40&gt;150000,ROUNDDOWN(($H40*J40-150000)*6%*45%,0),0)</f>
        <v>0</v>
      </c>
      <c r="AR40" s="12">
        <f t="shared" ref="AR40" si="629">IF($H40*K40&gt;150000,ROUNDDOWN(($H40*K40-150000)*6%*45%,0),0)</f>
        <v>0</v>
      </c>
      <c r="AS40" s="12">
        <f t="shared" ref="AS40" si="630">IF($H40*L40&gt;150000,ROUNDDOWN(($H40*L40-150000)*6%*45%,0),0)</f>
        <v>0</v>
      </c>
      <c r="AT40" s="12">
        <f t="shared" ref="AT40" si="631">IF($H40*M40&gt;150000,ROUNDDOWN(($H40*M40-150000)*6%*45%,0),0)</f>
        <v>0</v>
      </c>
      <c r="AU40" s="12">
        <f t="shared" ref="AU40" si="632">IF($H40*N40&gt;150000,ROUNDDOWN(($H40*N40-150000)*6%*45%,0),0)</f>
        <v>0</v>
      </c>
      <c r="AV40" s="12">
        <f t="shared" ref="AV40" si="633">IF($H40*O40&gt;150000,ROUNDDOWN(($H40*O40-150000)*6%*45%,0),0)</f>
        <v>0</v>
      </c>
      <c r="AW40" s="12">
        <f t="shared" ref="AW40" si="634">IF($H40*P40&gt;150000,ROUNDDOWN(($H40*P40-150000)*6%*45%,0),0)</f>
        <v>0</v>
      </c>
      <c r="AX40" s="12">
        <f t="shared" ref="AX40" si="635">IF($H40*Q40&gt;150000,ROUNDDOWN(($H40*Q40-150000)*6%*45%,0),0)</f>
        <v>0</v>
      </c>
      <c r="AY40" s="12">
        <f t="shared" ref="AY40" si="636">IF($H40*R40&gt;150000,ROUNDDOWN(($H40*R40-150000)*6%*45%,0),0)</f>
        <v>0</v>
      </c>
      <c r="AZ40" s="12">
        <f t="shared" ref="AZ40" si="637">IF($H40*S40&gt;150000,ROUNDDOWN(($H40*S40-150000)*6%*45%,0),0)</f>
        <v>0</v>
      </c>
      <c r="BA40" s="12">
        <f t="shared" ref="BA40" si="638">IF($H40*T40&gt;150000,ROUNDDOWN(($H40*T40-150000)*6%*45%,0),0)</f>
        <v>0</v>
      </c>
      <c r="BB40" s="12">
        <f t="shared" ref="BB40" si="639">IF($H40*U40&gt;150000,ROUNDDOWN(($H40*U40-150000)*6%*45%,0),0)</f>
        <v>0</v>
      </c>
      <c r="BC40" s="12">
        <f t="shared" ref="BC40" si="640">IF($H40*V40&gt;150000,ROUNDDOWN(($H40*V40-150000)*6%*45%,0),0)</f>
        <v>0</v>
      </c>
      <c r="BD40" s="13">
        <f t="shared" ref="BD40" si="641">IF($H40*W40&gt;150000,ROUNDDOWN(($H40*W40-150000)*6%*45%,0),0)</f>
        <v>0</v>
      </c>
      <c r="BE40" s="14"/>
    </row>
    <row r="41" spans="1:58" x14ac:dyDescent="0.3">
      <c r="A41" s="142"/>
      <c r="B41" s="116"/>
      <c r="C41" s="116"/>
      <c r="D41" s="143"/>
      <c r="E41" s="116"/>
      <c r="F41" s="116"/>
      <c r="G41" s="144"/>
      <c r="H41" s="112"/>
      <c r="I41" s="43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5"/>
      <c r="Y41" s="145"/>
      <c r="Z41" s="116"/>
      <c r="AA41" s="112"/>
      <c r="AB41" s="65">
        <f t="shared" ref="AB41" si="642">ROUNDDOWN(AB40*10%,-1)</f>
        <v>0</v>
      </c>
      <c r="AC41" s="66">
        <f t="shared" ref="AC41" ca="1" si="643">IFERROR(IF(AND( OR(COUNTIF(I40:X41, "&gt;0")&gt;=$AJ$1, AA40&gt;=$AJ$4),AN40&lt;60,AA40&lt;=$AH$5),ROUNDDOWN(ROUNDDOWN(AA40,-3)*$AH$4%,-1),IF(AND(COUNTIF(I40:X41,"&gt;0")&gt;=$AJ$1,AN40&lt;60,AA40&gt;$AH$5),$AJ$5,0)),0)</f>
        <v>0</v>
      </c>
      <c r="AD41" s="67">
        <f t="shared" ref="AD41" si="644">IF(Z40&gt;=$AJ$1,ROUNDDOWN(AD40*$AH$3%/($AH$2*2%),-1),0)</f>
        <v>0</v>
      </c>
      <c r="AE41" s="112"/>
      <c r="AF41" s="112"/>
      <c r="AG41" s="116"/>
      <c r="AH41" s="116"/>
      <c r="AI41" s="116"/>
      <c r="AJ41" s="115"/>
      <c r="AK41" s="114"/>
      <c r="AL41" s="149"/>
      <c r="AM41" s="115"/>
      <c r="AN41" s="113"/>
      <c r="AO41" s="112"/>
      <c r="AP41" s="15">
        <f t="shared" ref="AP41" si="645">IF($H40*I41&gt;150000,ROUNDDOWN(($H40*I41-150000)*6%*45%,0),0)</f>
        <v>0</v>
      </c>
      <c r="AQ41" s="16">
        <f t="shared" ref="AQ41" si="646">IF($H40*J41&gt;150000,ROUNDDOWN(($H40*J41-150000)*6%*45%,0),0)</f>
        <v>0</v>
      </c>
      <c r="AR41" s="16">
        <f t="shared" ref="AR41" si="647">IF($H40*K41&gt;150000,ROUNDDOWN(($H40*K41-150000)*6%*45%,0),0)</f>
        <v>0</v>
      </c>
      <c r="AS41" s="16">
        <f t="shared" ref="AS41" si="648">IF($H40*L41&gt;150000,ROUNDDOWN(($H40*L41-150000)*6%*45%,0),0)</f>
        <v>0</v>
      </c>
      <c r="AT41" s="16">
        <f t="shared" ref="AT41" si="649">IF($H40*M41&gt;150000,ROUNDDOWN(($H40*M41-150000)*6%*45%,0),0)</f>
        <v>0</v>
      </c>
      <c r="AU41" s="16">
        <f t="shared" ref="AU41" si="650">IF($H40*N41&gt;150000,ROUNDDOWN(($H40*N41-150000)*6%*45%,0),0)</f>
        <v>0</v>
      </c>
      <c r="AV41" s="16">
        <f t="shared" ref="AV41" si="651">IF($H40*O41&gt;150000,ROUNDDOWN(($H40*O41-150000)*6%*45%,0),0)</f>
        <v>0</v>
      </c>
      <c r="AW41" s="16">
        <f t="shared" ref="AW41" si="652">IF($H40*P41&gt;150000,ROUNDDOWN(($H40*P41-150000)*6%*45%,0),0)</f>
        <v>0</v>
      </c>
      <c r="AX41" s="16">
        <f t="shared" ref="AX41" si="653">IF($H40*Q41&gt;150000,ROUNDDOWN(($H40*Q41-150000)*6%*45%,0),0)</f>
        <v>0</v>
      </c>
      <c r="AY41" s="16">
        <f t="shared" ref="AY41" si="654">IF($H40*R41&gt;150000,ROUNDDOWN(($H40*R41-150000)*6%*45%,0),0)</f>
        <v>0</v>
      </c>
      <c r="AZ41" s="16">
        <f t="shared" ref="AZ41" si="655">IF($H40*S41&gt;150000,ROUNDDOWN(($H40*S41-150000)*6%*45%,0),0)</f>
        <v>0</v>
      </c>
      <c r="BA41" s="16">
        <f t="shared" ref="BA41" si="656">IF($H40*T41&gt;150000,ROUNDDOWN(($H40*T41-150000)*6%*45%,0),0)</f>
        <v>0</v>
      </c>
      <c r="BB41" s="16">
        <f t="shared" ref="BB41" si="657">IF($H40*U41&gt;150000,ROUNDDOWN(($H40*U41-150000)*6%*45%,0),0)</f>
        <v>0</v>
      </c>
      <c r="BC41" s="16">
        <f t="shared" ref="BC41" si="658">IF($H40*V41&gt;150000,ROUNDDOWN(($H40*V41-150000)*6%*45%,0),0)</f>
        <v>0</v>
      </c>
      <c r="BD41" s="16">
        <f t="shared" ref="BD41" si="659">IF($H40*W41&gt;150000,ROUNDDOWN(($H40*W41-150000)*6%*45%,0),0)</f>
        <v>0</v>
      </c>
      <c r="BE41" s="17">
        <f t="shared" ref="BE41" si="660">IF($H40*X41&gt;150000,ROUNDDOWN(($H40*X41-150000)*6%*45%,0),0)</f>
        <v>0</v>
      </c>
      <c r="BF41" s="28"/>
    </row>
    <row r="42" spans="1:58" x14ac:dyDescent="0.3">
      <c r="A42" s="142">
        <v>18</v>
      </c>
      <c r="B42" s="116" t="str">
        <f t="shared" ref="B42" si="661">IF(LEN(D42)&gt;1,IF(VALUE(MID(RIGHT(D42,7),1,1))&gt;4,"외국인",IF(VALUE(RIGHT(11-MOD((MID(D42,1,1)*2+MID(D42,2,1)*3+MID(D42,3,1)*4+MID(D42,4,1)*5+MID(D42,5,1)*6+MID(D42,6,1)*7+MID(RIGHT(D42,7),1,1)*8+MID(RIGHT(D42,7),2,1)*9+MID(RIGHT(D42,7),3,1)*2+MID(RIGHT(D42,7),4,1)*3+MID(RIGHT(D42,7),5,1)*4+MID(RIGHT(D42,7),6,1)*5),11),1))=VALUE(RIGHT(D42,1)),"","오류")),"")</f>
        <v/>
      </c>
      <c r="C42" s="116"/>
      <c r="D42" s="143"/>
      <c r="E42" s="116"/>
      <c r="F42" s="116"/>
      <c r="G42" s="144"/>
      <c r="H42" s="112"/>
      <c r="I42" s="38"/>
      <c r="J42" s="39"/>
      <c r="K42" s="39"/>
      <c r="L42" s="39"/>
      <c r="M42" s="39"/>
      <c r="N42" s="39"/>
      <c r="O42" s="39"/>
      <c r="P42" s="39"/>
      <c r="Q42" s="39"/>
      <c r="R42" s="39"/>
      <c r="S42" s="40"/>
      <c r="T42" s="40"/>
      <c r="U42" s="39"/>
      <c r="V42" s="39"/>
      <c r="W42" s="41"/>
      <c r="X42" s="42"/>
      <c r="Y42" s="145">
        <f>SUM(I42:X43)</f>
        <v>0</v>
      </c>
      <c r="Z42" s="116">
        <f>COUNTIF(I42:X43,"&gt;0")</f>
        <v>0</v>
      </c>
      <c r="AA42" s="112">
        <f t="shared" ref="AA42" si="662">H42*Y42</f>
        <v>0</v>
      </c>
      <c r="AB42" s="62">
        <f t="shared" ref="AB42" si="663">IF(AO42&lt;1000, 0, AO42)</f>
        <v>0</v>
      </c>
      <c r="AC42" s="63">
        <f ca="1">IF(IFERROR($AN42&lt;65,FALSE), IF(B42&lt;&gt;"외국인", ROUNDDOWN(AA42*$AH$1%,-1), IF(AND(AM42&lt;&gt;"", ISNUMBER(SEARCH(LEFT(SUBSTITUTE(AM42, "-",""),2), "F2_F5_F6"))), ROUNDDOWN(AA42*$AH$1%,-1), 0)),0)</f>
        <v>0</v>
      </c>
      <c r="AD42" s="64">
        <f t="shared" ref="AD42" si="664">IF(Z42&gt;=$AJ$1,ROUNDDOWN(AA42*$AH$2%,-1),0)</f>
        <v>0</v>
      </c>
      <c r="AE42" s="112">
        <f t="shared" ref="AE42" ca="1" si="665">AB42+AC42+AB43+AC43+AD42+AD43</f>
        <v>0</v>
      </c>
      <c r="AF42" s="112">
        <f t="shared" ref="AF42" ca="1" si="666">AA42-AE42</f>
        <v>0</v>
      </c>
      <c r="AG42" s="116"/>
      <c r="AH42" s="116"/>
      <c r="AI42" s="116"/>
      <c r="AJ42" s="115"/>
      <c r="AK42" s="114"/>
      <c r="AL42" s="149"/>
      <c r="AM42" s="115"/>
      <c r="AN42" s="113" t="str">
        <f t="shared" ref="AN42" ca="1" si="667">IFERROR(DATEDIF(DATE(IF(ISNUMBER(FIND(MID( SUBSTITUTE(D42, "-",""), 7, 1), "3478")), 2000, 1900)+MID(D42,1,2), MID(D42,3,2), MID(D42,5,2)), TODAY(), "Y"),"")</f>
        <v/>
      </c>
      <c r="AO42" s="112">
        <f>ROUNDDOWN(SUM(AP42:BE43),-1)</f>
        <v>0</v>
      </c>
      <c r="AP42" s="11">
        <f t="shared" ref="AP42" si="668">IF($H42*I42&gt;150000,ROUNDDOWN(($H42*I42-150000)*6%*45%,0),0)</f>
        <v>0</v>
      </c>
      <c r="AQ42" s="12">
        <f t="shared" ref="AQ42" si="669">IF($H42*J42&gt;150000,ROUNDDOWN(($H42*J42-150000)*6%*45%,0),0)</f>
        <v>0</v>
      </c>
      <c r="AR42" s="12">
        <f t="shared" ref="AR42" si="670">IF($H42*K42&gt;150000,ROUNDDOWN(($H42*K42-150000)*6%*45%,0),0)</f>
        <v>0</v>
      </c>
      <c r="AS42" s="12">
        <f t="shared" ref="AS42" si="671">IF($H42*L42&gt;150000,ROUNDDOWN(($H42*L42-150000)*6%*45%,0),0)</f>
        <v>0</v>
      </c>
      <c r="AT42" s="12">
        <f t="shared" ref="AT42" si="672">IF($H42*M42&gt;150000,ROUNDDOWN(($H42*M42-150000)*6%*45%,0),0)</f>
        <v>0</v>
      </c>
      <c r="AU42" s="12">
        <f t="shared" ref="AU42" si="673">IF($H42*N42&gt;150000,ROUNDDOWN(($H42*N42-150000)*6%*45%,0),0)</f>
        <v>0</v>
      </c>
      <c r="AV42" s="12">
        <f t="shared" ref="AV42" si="674">IF($H42*O42&gt;150000,ROUNDDOWN(($H42*O42-150000)*6%*45%,0),0)</f>
        <v>0</v>
      </c>
      <c r="AW42" s="12">
        <f t="shared" ref="AW42" si="675">IF($H42*P42&gt;150000,ROUNDDOWN(($H42*P42-150000)*6%*45%,0),0)</f>
        <v>0</v>
      </c>
      <c r="AX42" s="12">
        <f t="shared" ref="AX42" si="676">IF($H42*Q42&gt;150000,ROUNDDOWN(($H42*Q42-150000)*6%*45%,0),0)</f>
        <v>0</v>
      </c>
      <c r="AY42" s="12">
        <f t="shared" ref="AY42" si="677">IF($H42*R42&gt;150000,ROUNDDOWN(($H42*R42-150000)*6%*45%,0),0)</f>
        <v>0</v>
      </c>
      <c r="AZ42" s="12">
        <f t="shared" ref="AZ42" si="678">IF($H42*S42&gt;150000,ROUNDDOWN(($H42*S42-150000)*6%*45%,0),0)</f>
        <v>0</v>
      </c>
      <c r="BA42" s="12">
        <f t="shared" ref="BA42" si="679">IF($H42*T42&gt;150000,ROUNDDOWN(($H42*T42-150000)*6%*45%,0),0)</f>
        <v>0</v>
      </c>
      <c r="BB42" s="12">
        <f t="shared" ref="BB42" si="680">IF($H42*U42&gt;150000,ROUNDDOWN(($H42*U42-150000)*6%*45%,0),0)</f>
        <v>0</v>
      </c>
      <c r="BC42" s="12">
        <f t="shared" ref="BC42" si="681">IF($H42*V42&gt;150000,ROUNDDOWN(($H42*V42-150000)*6%*45%,0),0)</f>
        <v>0</v>
      </c>
      <c r="BD42" s="13">
        <f t="shared" ref="BD42" si="682">IF($H42*W42&gt;150000,ROUNDDOWN(($H42*W42-150000)*6%*45%,0),0)</f>
        <v>0</v>
      </c>
      <c r="BE42" s="14"/>
    </row>
    <row r="43" spans="1:58" x14ac:dyDescent="0.3">
      <c r="A43" s="142"/>
      <c r="B43" s="116"/>
      <c r="C43" s="116"/>
      <c r="D43" s="143"/>
      <c r="E43" s="116"/>
      <c r="F43" s="116"/>
      <c r="G43" s="144"/>
      <c r="H43" s="112"/>
      <c r="I43" s="43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5"/>
      <c r="Y43" s="145"/>
      <c r="Z43" s="116"/>
      <c r="AA43" s="112"/>
      <c r="AB43" s="65">
        <f t="shared" ref="AB43" si="683">ROUNDDOWN(AB42*10%,-1)</f>
        <v>0</v>
      </c>
      <c r="AC43" s="66">
        <f t="shared" ref="AC43" ca="1" si="684">IFERROR(IF(AND( OR(COUNTIF(I42:X43, "&gt;0")&gt;=$AJ$1, AA42&gt;=$AJ$4),AN42&lt;60,AA42&lt;=$AH$5),ROUNDDOWN(ROUNDDOWN(AA42,-3)*$AH$4%,-1),IF(AND(COUNTIF(I42:X43,"&gt;0")&gt;=$AJ$1,AN42&lt;60,AA42&gt;$AH$5),$AJ$5,0)),0)</f>
        <v>0</v>
      </c>
      <c r="AD43" s="67">
        <f t="shared" ref="AD43" si="685">IF(Z42&gt;=$AJ$1,ROUNDDOWN(AD42*$AH$3%/($AH$2*2%),-1),0)</f>
        <v>0</v>
      </c>
      <c r="AE43" s="112"/>
      <c r="AF43" s="112"/>
      <c r="AG43" s="116"/>
      <c r="AH43" s="116"/>
      <c r="AI43" s="116"/>
      <c r="AJ43" s="115"/>
      <c r="AK43" s="114"/>
      <c r="AL43" s="149"/>
      <c r="AM43" s="115"/>
      <c r="AN43" s="113"/>
      <c r="AO43" s="112"/>
      <c r="AP43" s="15">
        <f t="shared" ref="AP43" si="686">IF($H42*I43&gt;150000,ROUNDDOWN(($H42*I43-150000)*6%*45%,0),0)</f>
        <v>0</v>
      </c>
      <c r="AQ43" s="16">
        <f t="shared" ref="AQ43" si="687">IF($H42*J43&gt;150000,ROUNDDOWN(($H42*J43-150000)*6%*45%,0),0)</f>
        <v>0</v>
      </c>
      <c r="AR43" s="16">
        <f t="shared" ref="AR43" si="688">IF($H42*K43&gt;150000,ROUNDDOWN(($H42*K43-150000)*6%*45%,0),0)</f>
        <v>0</v>
      </c>
      <c r="AS43" s="16">
        <f t="shared" ref="AS43" si="689">IF($H42*L43&gt;150000,ROUNDDOWN(($H42*L43-150000)*6%*45%,0),0)</f>
        <v>0</v>
      </c>
      <c r="AT43" s="16">
        <f t="shared" ref="AT43" si="690">IF($H42*M43&gt;150000,ROUNDDOWN(($H42*M43-150000)*6%*45%,0),0)</f>
        <v>0</v>
      </c>
      <c r="AU43" s="16">
        <f t="shared" ref="AU43" si="691">IF($H42*N43&gt;150000,ROUNDDOWN(($H42*N43-150000)*6%*45%,0),0)</f>
        <v>0</v>
      </c>
      <c r="AV43" s="16">
        <f t="shared" ref="AV43" si="692">IF($H42*O43&gt;150000,ROUNDDOWN(($H42*O43-150000)*6%*45%,0),0)</f>
        <v>0</v>
      </c>
      <c r="AW43" s="16">
        <f t="shared" ref="AW43" si="693">IF($H42*P43&gt;150000,ROUNDDOWN(($H42*P43-150000)*6%*45%,0),0)</f>
        <v>0</v>
      </c>
      <c r="AX43" s="16">
        <f t="shared" ref="AX43" si="694">IF($H42*Q43&gt;150000,ROUNDDOWN(($H42*Q43-150000)*6%*45%,0),0)</f>
        <v>0</v>
      </c>
      <c r="AY43" s="16">
        <f t="shared" ref="AY43" si="695">IF($H42*R43&gt;150000,ROUNDDOWN(($H42*R43-150000)*6%*45%,0),0)</f>
        <v>0</v>
      </c>
      <c r="AZ43" s="16">
        <f t="shared" ref="AZ43" si="696">IF($H42*S43&gt;150000,ROUNDDOWN(($H42*S43-150000)*6%*45%,0),0)</f>
        <v>0</v>
      </c>
      <c r="BA43" s="16">
        <f t="shared" ref="BA43" si="697">IF($H42*T43&gt;150000,ROUNDDOWN(($H42*T43-150000)*6%*45%,0),0)</f>
        <v>0</v>
      </c>
      <c r="BB43" s="16">
        <f t="shared" ref="BB43" si="698">IF($H42*U43&gt;150000,ROUNDDOWN(($H42*U43-150000)*6%*45%,0),0)</f>
        <v>0</v>
      </c>
      <c r="BC43" s="16">
        <f t="shared" ref="BC43" si="699">IF($H42*V43&gt;150000,ROUNDDOWN(($H42*V43-150000)*6%*45%,0),0)</f>
        <v>0</v>
      </c>
      <c r="BD43" s="16">
        <f t="shared" ref="BD43" si="700">IF($H42*W43&gt;150000,ROUNDDOWN(($H42*W43-150000)*6%*45%,0),0)</f>
        <v>0</v>
      </c>
      <c r="BE43" s="17">
        <f t="shared" ref="BE43" si="701">IF($H42*X43&gt;150000,ROUNDDOWN(($H42*X43-150000)*6%*45%,0),0)</f>
        <v>0</v>
      </c>
      <c r="BF43" s="28"/>
    </row>
    <row r="44" spans="1:58" x14ac:dyDescent="0.3">
      <c r="A44" s="142">
        <v>19</v>
      </c>
      <c r="B44" s="116" t="str">
        <f t="shared" ref="B44" si="702">IF(LEN(D44)&gt;1,IF(VALUE(MID(RIGHT(D44,7),1,1))&gt;4,"외국인",IF(VALUE(RIGHT(11-MOD((MID(D44,1,1)*2+MID(D44,2,1)*3+MID(D44,3,1)*4+MID(D44,4,1)*5+MID(D44,5,1)*6+MID(D44,6,1)*7+MID(RIGHT(D44,7),1,1)*8+MID(RIGHT(D44,7),2,1)*9+MID(RIGHT(D44,7),3,1)*2+MID(RIGHT(D44,7),4,1)*3+MID(RIGHT(D44,7),5,1)*4+MID(RIGHT(D44,7),6,1)*5),11),1))=VALUE(RIGHT(D44,1)),"","오류")),"")</f>
        <v/>
      </c>
      <c r="C44" s="116"/>
      <c r="D44" s="143"/>
      <c r="E44" s="116"/>
      <c r="F44" s="116"/>
      <c r="G44" s="144"/>
      <c r="H44" s="112"/>
      <c r="I44" s="38"/>
      <c r="J44" s="39"/>
      <c r="K44" s="39"/>
      <c r="L44" s="39"/>
      <c r="M44" s="39"/>
      <c r="N44" s="39"/>
      <c r="O44" s="39"/>
      <c r="P44" s="39"/>
      <c r="Q44" s="39"/>
      <c r="R44" s="39"/>
      <c r="S44" s="40"/>
      <c r="T44" s="40"/>
      <c r="U44" s="39"/>
      <c r="V44" s="39"/>
      <c r="W44" s="41"/>
      <c r="X44" s="42"/>
      <c r="Y44" s="145">
        <f>SUM(I44:X45)</f>
        <v>0</v>
      </c>
      <c r="Z44" s="116">
        <f>COUNTIF(I44:X45,"&gt;0")</f>
        <v>0</v>
      </c>
      <c r="AA44" s="112">
        <f t="shared" ref="AA44" si="703">H44*Y44</f>
        <v>0</v>
      </c>
      <c r="AB44" s="62">
        <f t="shared" ref="AB44" si="704">IF(AO44&lt;1000, 0, AO44)</f>
        <v>0</v>
      </c>
      <c r="AC44" s="63">
        <f ca="1">IF(IFERROR($AN44&lt;65,FALSE), IF(B44&lt;&gt;"외국인", ROUNDDOWN(AA44*$AH$1%,-1), IF(AND(AM44&lt;&gt;"", ISNUMBER(SEARCH(LEFT(SUBSTITUTE(AM44, "-",""),2), "F2_F5_F6"))), ROUNDDOWN(AA44*$AH$1%,-1), 0)),0)</f>
        <v>0</v>
      </c>
      <c r="AD44" s="64">
        <f t="shared" ref="AD44" si="705">IF(Z44&gt;=$AJ$1,ROUNDDOWN(AA44*$AH$2%,-1),0)</f>
        <v>0</v>
      </c>
      <c r="AE44" s="112">
        <f t="shared" ref="AE44" ca="1" si="706">AB44+AC44+AB45+AC45+AD44+AD45</f>
        <v>0</v>
      </c>
      <c r="AF44" s="112">
        <f t="shared" ref="AF44" ca="1" si="707">AA44-AE44</f>
        <v>0</v>
      </c>
      <c r="AG44" s="116"/>
      <c r="AH44" s="116"/>
      <c r="AI44" s="116"/>
      <c r="AJ44" s="115"/>
      <c r="AK44" s="114"/>
      <c r="AL44" s="149"/>
      <c r="AM44" s="115"/>
      <c r="AN44" s="113" t="str">
        <f t="shared" ref="AN44" ca="1" si="708">IFERROR(DATEDIF(DATE(IF(ISNUMBER(FIND(MID( SUBSTITUTE(D44, "-",""), 7, 1), "3478")), 2000, 1900)+MID(D44,1,2), MID(D44,3,2), MID(D44,5,2)), TODAY(), "Y"),"")</f>
        <v/>
      </c>
      <c r="AO44" s="112">
        <f>ROUNDDOWN(SUM(AP44:BE45),-1)</f>
        <v>0</v>
      </c>
      <c r="AP44" s="11">
        <f t="shared" ref="AP44" si="709">IF($H44*I44&gt;150000,ROUNDDOWN(($H44*I44-150000)*6%*45%,0),0)</f>
        <v>0</v>
      </c>
      <c r="AQ44" s="12">
        <f t="shared" ref="AQ44" si="710">IF($H44*J44&gt;150000,ROUNDDOWN(($H44*J44-150000)*6%*45%,0),0)</f>
        <v>0</v>
      </c>
      <c r="AR44" s="12">
        <f t="shared" ref="AR44" si="711">IF($H44*K44&gt;150000,ROUNDDOWN(($H44*K44-150000)*6%*45%,0),0)</f>
        <v>0</v>
      </c>
      <c r="AS44" s="12">
        <f t="shared" ref="AS44" si="712">IF($H44*L44&gt;150000,ROUNDDOWN(($H44*L44-150000)*6%*45%,0),0)</f>
        <v>0</v>
      </c>
      <c r="AT44" s="12">
        <f t="shared" ref="AT44" si="713">IF($H44*M44&gt;150000,ROUNDDOWN(($H44*M44-150000)*6%*45%,0),0)</f>
        <v>0</v>
      </c>
      <c r="AU44" s="12">
        <f t="shared" ref="AU44" si="714">IF($H44*N44&gt;150000,ROUNDDOWN(($H44*N44-150000)*6%*45%,0),0)</f>
        <v>0</v>
      </c>
      <c r="AV44" s="12">
        <f t="shared" ref="AV44" si="715">IF($H44*O44&gt;150000,ROUNDDOWN(($H44*O44-150000)*6%*45%,0),0)</f>
        <v>0</v>
      </c>
      <c r="AW44" s="12">
        <f t="shared" ref="AW44" si="716">IF($H44*P44&gt;150000,ROUNDDOWN(($H44*P44-150000)*6%*45%,0),0)</f>
        <v>0</v>
      </c>
      <c r="AX44" s="12">
        <f t="shared" ref="AX44" si="717">IF($H44*Q44&gt;150000,ROUNDDOWN(($H44*Q44-150000)*6%*45%,0),0)</f>
        <v>0</v>
      </c>
      <c r="AY44" s="12">
        <f t="shared" ref="AY44" si="718">IF($H44*R44&gt;150000,ROUNDDOWN(($H44*R44-150000)*6%*45%,0),0)</f>
        <v>0</v>
      </c>
      <c r="AZ44" s="12">
        <f t="shared" ref="AZ44" si="719">IF($H44*S44&gt;150000,ROUNDDOWN(($H44*S44-150000)*6%*45%,0),0)</f>
        <v>0</v>
      </c>
      <c r="BA44" s="12">
        <f t="shared" ref="BA44" si="720">IF($H44*T44&gt;150000,ROUNDDOWN(($H44*T44-150000)*6%*45%,0),0)</f>
        <v>0</v>
      </c>
      <c r="BB44" s="12">
        <f t="shared" ref="BB44" si="721">IF($H44*U44&gt;150000,ROUNDDOWN(($H44*U44-150000)*6%*45%,0),0)</f>
        <v>0</v>
      </c>
      <c r="BC44" s="12">
        <f t="shared" ref="BC44" si="722">IF($H44*V44&gt;150000,ROUNDDOWN(($H44*V44-150000)*6%*45%,0),0)</f>
        <v>0</v>
      </c>
      <c r="BD44" s="13">
        <f t="shared" ref="BD44" si="723">IF($H44*W44&gt;150000,ROUNDDOWN(($H44*W44-150000)*6%*45%,0),0)</f>
        <v>0</v>
      </c>
      <c r="BE44" s="14"/>
    </row>
    <row r="45" spans="1:58" x14ac:dyDescent="0.3">
      <c r="A45" s="142"/>
      <c r="B45" s="116"/>
      <c r="C45" s="116"/>
      <c r="D45" s="143"/>
      <c r="E45" s="116"/>
      <c r="F45" s="116"/>
      <c r="G45" s="144"/>
      <c r="H45" s="112"/>
      <c r="I45" s="43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5"/>
      <c r="Y45" s="145"/>
      <c r="Z45" s="116"/>
      <c r="AA45" s="112"/>
      <c r="AB45" s="65">
        <f t="shared" ref="AB45" si="724">ROUNDDOWN(AB44*10%,-1)</f>
        <v>0</v>
      </c>
      <c r="AC45" s="66">
        <f t="shared" ref="AC45" ca="1" si="725">IFERROR(IF(AND( OR(COUNTIF(I44:X45, "&gt;0")&gt;=$AJ$1, AA44&gt;=$AJ$4),AN44&lt;60,AA44&lt;=$AH$5),ROUNDDOWN(ROUNDDOWN(AA44,-3)*$AH$4%,-1),IF(AND(COUNTIF(I44:X45,"&gt;0")&gt;=$AJ$1,AN44&lt;60,AA44&gt;$AH$5),$AJ$5,0)),0)</f>
        <v>0</v>
      </c>
      <c r="AD45" s="67">
        <f t="shared" ref="AD45" si="726">IF(Z44&gt;=$AJ$1,ROUNDDOWN(AD44*$AH$3%/($AH$2*2%),-1),0)</f>
        <v>0</v>
      </c>
      <c r="AE45" s="112"/>
      <c r="AF45" s="112"/>
      <c r="AG45" s="116"/>
      <c r="AH45" s="116"/>
      <c r="AI45" s="116"/>
      <c r="AJ45" s="115"/>
      <c r="AK45" s="114"/>
      <c r="AL45" s="149"/>
      <c r="AM45" s="115"/>
      <c r="AN45" s="113"/>
      <c r="AO45" s="112"/>
      <c r="AP45" s="15">
        <f t="shared" ref="AP45" si="727">IF($H44*I45&gt;150000,ROUNDDOWN(($H44*I45-150000)*6%*45%,0),0)</f>
        <v>0</v>
      </c>
      <c r="AQ45" s="16">
        <f t="shared" ref="AQ45" si="728">IF($H44*J45&gt;150000,ROUNDDOWN(($H44*J45-150000)*6%*45%,0),0)</f>
        <v>0</v>
      </c>
      <c r="AR45" s="16">
        <f t="shared" ref="AR45" si="729">IF($H44*K45&gt;150000,ROUNDDOWN(($H44*K45-150000)*6%*45%,0),0)</f>
        <v>0</v>
      </c>
      <c r="AS45" s="16">
        <f t="shared" ref="AS45" si="730">IF($H44*L45&gt;150000,ROUNDDOWN(($H44*L45-150000)*6%*45%,0),0)</f>
        <v>0</v>
      </c>
      <c r="AT45" s="16">
        <f t="shared" ref="AT45" si="731">IF($H44*M45&gt;150000,ROUNDDOWN(($H44*M45-150000)*6%*45%,0),0)</f>
        <v>0</v>
      </c>
      <c r="AU45" s="16">
        <f t="shared" ref="AU45" si="732">IF($H44*N45&gt;150000,ROUNDDOWN(($H44*N45-150000)*6%*45%,0),0)</f>
        <v>0</v>
      </c>
      <c r="AV45" s="16">
        <f t="shared" ref="AV45" si="733">IF($H44*O45&gt;150000,ROUNDDOWN(($H44*O45-150000)*6%*45%,0),0)</f>
        <v>0</v>
      </c>
      <c r="AW45" s="16">
        <f t="shared" ref="AW45" si="734">IF($H44*P45&gt;150000,ROUNDDOWN(($H44*P45-150000)*6%*45%,0),0)</f>
        <v>0</v>
      </c>
      <c r="AX45" s="16">
        <f t="shared" ref="AX45" si="735">IF($H44*Q45&gt;150000,ROUNDDOWN(($H44*Q45-150000)*6%*45%,0),0)</f>
        <v>0</v>
      </c>
      <c r="AY45" s="16">
        <f t="shared" ref="AY45" si="736">IF($H44*R45&gt;150000,ROUNDDOWN(($H44*R45-150000)*6%*45%,0),0)</f>
        <v>0</v>
      </c>
      <c r="AZ45" s="16">
        <f t="shared" ref="AZ45" si="737">IF($H44*S45&gt;150000,ROUNDDOWN(($H44*S45-150000)*6%*45%,0),0)</f>
        <v>0</v>
      </c>
      <c r="BA45" s="16">
        <f t="shared" ref="BA45" si="738">IF($H44*T45&gt;150000,ROUNDDOWN(($H44*T45-150000)*6%*45%,0),0)</f>
        <v>0</v>
      </c>
      <c r="BB45" s="16">
        <f t="shared" ref="BB45" si="739">IF($H44*U45&gt;150000,ROUNDDOWN(($H44*U45-150000)*6%*45%,0),0)</f>
        <v>0</v>
      </c>
      <c r="BC45" s="16">
        <f t="shared" ref="BC45" si="740">IF($H44*V45&gt;150000,ROUNDDOWN(($H44*V45-150000)*6%*45%,0),0)</f>
        <v>0</v>
      </c>
      <c r="BD45" s="16">
        <f t="shared" ref="BD45" si="741">IF($H44*W45&gt;150000,ROUNDDOWN(($H44*W45-150000)*6%*45%,0),0)</f>
        <v>0</v>
      </c>
      <c r="BE45" s="17">
        <f t="shared" ref="BE45" si="742">IF($H44*X45&gt;150000,ROUNDDOWN(($H44*X45-150000)*6%*45%,0),0)</f>
        <v>0</v>
      </c>
      <c r="BF45" s="28"/>
    </row>
    <row r="46" spans="1:58" x14ac:dyDescent="0.3">
      <c r="A46" s="142">
        <v>20</v>
      </c>
      <c r="B46" s="116" t="str">
        <f t="shared" ref="B46" si="743">IF(LEN(D46)&gt;1,IF(VALUE(MID(RIGHT(D46,7),1,1))&gt;4,"외국인",IF(VALUE(RIGHT(11-MOD((MID(D46,1,1)*2+MID(D46,2,1)*3+MID(D46,3,1)*4+MID(D46,4,1)*5+MID(D46,5,1)*6+MID(D46,6,1)*7+MID(RIGHT(D46,7),1,1)*8+MID(RIGHT(D46,7),2,1)*9+MID(RIGHT(D46,7),3,1)*2+MID(RIGHT(D46,7),4,1)*3+MID(RIGHT(D46,7),5,1)*4+MID(RIGHT(D46,7),6,1)*5),11),1))=VALUE(RIGHT(D46,1)),"","오류")),"")</f>
        <v/>
      </c>
      <c r="C46" s="116"/>
      <c r="D46" s="143"/>
      <c r="E46" s="116"/>
      <c r="F46" s="116"/>
      <c r="G46" s="144"/>
      <c r="H46" s="112"/>
      <c r="I46" s="38"/>
      <c r="J46" s="39"/>
      <c r="K46" s="39"/>
      <c r="L46" s="39"/>
      <c r="M46" s="39"/>
      <c r="N46" s="39"/>
      <c r="O46" s="39"/>
      <c r="P46" s="39"/>
      <c r="Q46" s="39"/>
      <c r="R46" s="39"/>
      <c r="S46" s="40"/>
      <c r="T46" s="40"/>
      <c r="U46" s="39"/>
      <c r="V46" s="39"/>
      <c r="W46" s="41"/>
      <c r="X46" s="42"/>
      <c r="Y46" s="145">
        <f>SUM(I46:X47)</f>
        <v>0</v>
      </c>
      <c r="Z46" s="116">
        <f>COUNTIF(I46:X47,"&gt;0")</f>
        <v>0</v>
      </c>
      <c r="AA46" s="112">
        <f t="shared" ref="AA46" si="744">H46*Y46</f>
        <v>0</v>
      </c>
      <c r="AB46" s="62">
        <f t="shared" ref="AB46" si="745">IF(AO46&lt;1000, 0, AO46)</f>
        <v>0</v>
      </c>
      <c r="AC46" s="63">
        <f ca="1">IF(IFERROR($AN46&lt;65,FALSE), IF(B46&lt;&gt;"외국인", ROUNDDOWN(AA46*$AH$1%,-1), IF(AND(AM46&lt;&gt;"", ISNUMBER(SEARCH(LEFT(SUBSTITUTE(AM46, "-",""),2), "F2_F5_F6"))), ROUNDDOWN(AA46*$AH$1%,-1), 0)),0)</f>
        <v>0</v>
      </c>
      <c r="AD46" s="64">
        <f t="shared" ref="AD46" si="746">IF(Z46&gt;=$AJ$1,ROUNDDOWN(AA46*$AH$2%,-1),0)</f>
        <v>0</v>
      </c>
      <c r="AE46" s="112">
        <f t="shared" ref="AE46" ca="1" si="747">AB46+AC46+AB47+AC47+AD46+AD47</f>
        <v>0</v>
      </c>
      <c r="AF46" s="112">
        <f t="shared" ref="AF46" ca="1" si="748">AA46-AE46</f>
        <v>0</v>
      </c>
      <c r="AG46" s="116"/>
      <c r="AH46" s="116"/>
      <c r="AI46" s="116"/>
      <c r="AJ46" s="115"/>
      <c r="AK46" s="114"/>
      <c r="AL46" s="149"/>
      <c r="AM46" s="115"/>
      <c r="AN46" s="113" t="str">
        <f t="shared" ref="AN46" ca="1" si="749">IFERROR(DATEDIF(DATE(IF(ISNUMBER(FIND(MID( SUBSTITUTE(D46, "-",""), 7, 1), "3478")), 2000, 1900)+MID(D46,1,2), MID(D46,3,2), MID(D46,5,2)), TODAY(), "Y"),"")</f>
        <v/>
      </c>
      <c r="AO46" s="112">
        <f>ROUNDDOWN(SUM(AP46:BE47),-1)</f>
        <v>0</v>
      </c>
      <c r="AP46" s="11">
        <f t="shared" ref="AP46" si="750">IF($H46*I46&gt;150000,ROUNDDOWN(($H46*I46-150000)*6%*45%,0),0)</f>
        <v>0</v>
      </c>
      <c r="AQ46" s="12">
        <f t="shared" ref="AQ46" si="751">IF($H46*J46&gt;150000,ROUNDDOWN(($H46*J46-150000)*6%*45%,0),0)</f>
        <v>0</v>
      </c>
      <c r="AR46" s="12">
        <f t="shared" ref="AR46" si="752">IF($H46*K46&gt;150000,ROUNDDOWN(($H46*K46-150000)*6%*45%,0),0)</f>
        <v>0</v>
      </c>
      <c r="AS46" s="12">
        <f t="shared" ref="AS46" si="753">IF($H46*L46&gt;150000,ROUNDDOWN(($H46*L46-150000)*6%*45%,0),0)</f>
        <v>0</v>
      </c>
      <c r="AT46" s="12">
        <f t="shared" ref="AT46" si="754">IF($H46*M46&gt;150000,ROUNDDOWN(($H46*M46-150000)*6%*45%,0),0)</f>
        <v>0</v>
      </c>
      <c r="AU46" s="12">
        <f t="shared" ref="AU46" si="755">IF($H46*N46&gt;150000,ROUNDDOWN(($H46*N46-150000)*6%*45%,0),0)</f>
        <v>0</v>
      </c>
      <c r="AV46" s="12">
        <f t="shared" ref="AV46" si="756">IF($H46*O46&gt;150000,ROUNDDOWN(($H46*O46-150000)*6%*45%,0),0)</f>
        <v>0</v>
      </c>
      <c r="AW46" s="12">
        <f t="shared" ref="AW46" si="757">IF($H46*P46&gt;150000,ROUNDDOWN(($H46*P46-150000)*6%*45%,0),0)</f>
        <v>0</v>
      </c>
      <c r="AX46" s="12">
        <f t="shared" ref="AX46" si="758">IF($H46*Q46&gt;150000,ROUNDDOWN(($H46*Q46-150000)*6%*45%,0),0)</f>
        <v>0</v>
      </c>
      <c r="AY46" s="12">
        <f t="shared" ref="AY46" si="759">IF($H46*R46&gt;150000,ROUNDDOWN(($H46*R46-150000)*6%*45%,0),0)</f>
        <v>0</v>
      </c>
      <c r="AZ46" s="12">
        <f t="shared" ref="AZ46" si="760">IF($H46*S46&gt;150000,ROUNDDOWN(($H46*S46-150000)*6%*45%,0),0)</f>
        <v>0</v>
      </c>
      <c r="BA46" s="12">
        <f t="shared" ref="BA46" si="761">IF($H46*T46&gt;150000,ROUNDDOWN(($H46*T46-150000)*6%*45%,0),0)</f>
        <v>0</v>
      </c>
      <c r="BB46" s="12">
        <f t="shared" ref="BB46" si="762">IF($H46*U46&gt;150000,ROUNDDOWN(($H46*U46-150000)*6%*45%,0),0)</f>
        <v>0</v>
      </c>
      <c r="BC46" s="12">
        <f t="shared" ref="BC46" si="763">IF($H46*V46&gt;150000,ROUNDDOWN(($H46*V46-150000)*6%*45%,0),0)</f>
        <v>0</v>
      </c>
      <c r="BD46" s="13">
        <f t="shared" ref="BD46" si="764">IF($H46*W46&gt;150000,ROUNDDOWN(($H46*W46-150000)*6%*45%,0),0)</f>
        <v>0</v>
      </c>
      <c r="BE46" s="14"/>
    </row>
    <row r="47" spans="1:58" ht="17.25" thickBot="1" x14ac:dyDescent="0.35">
      <c r="A47" s="150"/>
      <c r="B47" s="151"/>
      <c r="C47" s="151"/>
      <c r="D47" s="152"/>
      <c r="E47" s="151"/>
      <c r="F47" s="151"/>
      <c r="G47" s="153"/>
      <c r="H47" s="154"/>
      <c r="I47" s="46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8"/>
      <c r="Y47" s="155"/>
      <c r="Z47" s="151"/>
      <c r="AA47" s="154"/>
      <c r="AB47" s="68">
        <f t="shared" ref="AB47" si="765">ROUNDDOWN(AB46*10%,-1)</f>
        <v>0</v>
      </c>
      <c r="AC47" s="69">
        <f t="shared" ref="AC47" ca="1" si="766">IFERROR(IF(AND( OR(COUNTIF(I46:X47, "&gt;0")&gt;=$AJ$1, AA46&gt;=$AJ$4),AN46&lt;60,AA46&lt;=$AH$5),ROUNDDOWN(ROUNDDOWN(AA46,-3)*$AH$4%,-1),IF(AND(COUNTIF(I46:X47,"&gt;0")&gt;=$AJ$1,AN46&lt;60,AA46&gt;$AH$5),$AJ$5,0)),0)</f>
        <v>0</v>
      </c>
      <c r="AD47" s="70">
        <f t="shared" ref="AD47" si="767">IF(Z46&gt;=$AJ$1,ROUNDDOWN(AD46*$AH$3%/($AH$2*2%),-1),0)</f>
        <v>0</v>
      </c>
      <c r="AE47" s="154"/>
      <c r="AF47" s="154"/>
      <c r="AG47" s="151"/>
      <c r="AH47" s="151"/>
      <c r="AI47" s="151"/>
      <c r="AJ47" s="162"/>
      <c r="AK47" s="114"/>
      <c r="AL47" s="149"/>
      <c r="AM47" s="115"/>
      <c r="AN47" s="113"/>
      <c r="AO47" s="112"/>
      <c r="AP47" s="15">
        <f t="shared" ref="AP47" si="768">IF($H46*I47&gt;150000,ROUNDDOWN(($H46*I47-150000)*6%*45%,0),0)</f>
        <v>0</v>
      </c>
      <c r="AQ47" s="16">
        <f t="shared" ref="AQ47" si="769">IF($H46*J47&gt;150000,ROUNDDOWN(($H46*J47-150000)*6%*45%,0),0)</f>
        <v>0</v>
      </c>
      <c r="AR47" s="16">
        <f t="shared" ref="AR47" si="770">IF($H46*K47&gt;150000,ROUNDDOWN(($H46*K47-150000)*6%*45%,0),0)</f>
        <v>0</v>
      </c>
      <c r="AS47" s="16">
        <f t="shared" ref="AS47" si="771">IF($H46*L47&gt;150000,ROUNDDOWN(($H46*L47-150000)*6%*45%,0),0)</f>
        <v>0</v>
      </c>
      <c r="AT47" s="16">
        <f t="shared" ref="AT47" si="772">IF($H46*M47&gt;150000,ROUNDDOWN(($H46*M47-150000)*6%*45%,0),0)</f>
        <v>0</v>
      </c>
      <c r="AU47" s="16">
        <f t="shared" ref="AU47" si="773">IF($H46*N47&gt;150000,ROUNDDOWN(($H46*N47-150000)*6%*45%,0),0)</f>
        <v>0</v>
      </c>
      <c r="AV47" s="16">
        <f t="shared" ref="AV47" si="774">IF($H46*O47&gt;150000,ROUNDDOWN(($H46*O47-150000)*6%*45%,0),0)</f>
        <v>0</v>
      </c>
      <c r="AW47" s="16">
        <f t="shared" ref="AW47" si="775">IF($H46*P47&gt;150000,ROUNDDOWN(($H46*P47-150000)*6%*45%,0),0)</f>
        <v>0</v>
      </c>
      <c r="AX47" s="16">
        <f t="shared" ref="AX47" si="776">IF($H46*Q47&gt;150000,ROUNDDOWN(($H46*Q47-150000)*6%*45%,0),0)</f>
        <v>0</v>
      </c>
      <c r="AY47" s="16">
        <f t="shared" ref="AY47" si="777">IF($H46*R47&gt;150000,ROUNDDOWN(($H46*R47-150000)*6%*45%,0),0)</f>
        <v>0</v>
      </c>
      <c r="AZ47" s="16">
        <f t="shared" ref="AZ47" si="778">IF($H46*S47&gt;150000,ROUNDDOWN(($H46*S47-150000)*6%*45%,0),0)</f>
        <v>0</v>
      </c>
      <c r="BA47" s="16">
        <f t="shared" ref="BA47" si="779">IF($H46*T47&gt;150000,ROUNDDOWN(($H46*T47-150000)*6%*45%,0),0)</f>
        <v>0</v>
      </c>
      <c r="BB47" s="16">
        <f t="shared" ref="BB47" si="780">IF($H46*U47&gt;150000,ROUNDDOWN(($H46*U47-150000)*6%*45%,0),0)</f>
        <v>0</v>
      </c>
      <c r="BC47" s="16">
        <f t="shared" ref="BC47" si="781">IF($H46*V47&gt;150000,ROUNDDOWN(($H46*V47-150000)*6%*45%,0),0)</f>
        <v>0</v>
      </c>
      <c r="BD47" s="16">
        <f t="shared" ref="BD47" si="782">IF($H46*W47&gt;150000,ROUNDDOWN(($H46*W47-150000)*6%*45%,0),0)</f>
        <v>0</v>
      </c>
      <c r="BE47" s="17">
        <f t="shared" ref="BE47" si="783">IF($H46*X47&gt;150000,ROUNDDOWN(($H46*X47-150000)*6%*45%,0),0)</f>
        <v>0</v>
      </c>
      <c r="BF47" s="28"/>
    </row>
    <row r="48" spans="1:58" x14ac:dyDescent="0.3">
      <c r="A48" s="157">
        <v>21</v>
      </c>
      <c r="B48" s="156" t="str">
        <f t="shared" ref="B48" si="784">IF(LEN(D48)&gt;1,IF(VALUE(MID(RIGHT(D48,7),1,1))&gt;4,"외국인",IF(VALUE(RIGHT(11-MOD((MID(D48,1,1)*2+MID(D48,2,1)*3+MID(D48,3,1)*4+MID(D48,4,1)*5+MID(D48,5,1)*6+MID(D48,6,1)*7+MID(RIGHT(D48,7),1,1)*8+MID(RIGHT(D48,7),2,1)*9+MID(RIGHT(D48,7),3,1)*2+MID(RIGHT(D48,7),4,1)*3+MID(RIGHT(D48,7),5,1)*4+MID(RIGHT(D48,7),6,1)*5),11),1))=VALUE(RIGHT(D48,1)),"","오류")),"")</f>
        <v/>
      </c>
      <c r="C48" s="156"/>
      <c r="D48" s="158"/>
      <c r="E48" s="156"/>
      <c r="F48" s="156"/>
      <c r="G48" s="159"/>
      <c r="H48" s="160"/>
      <c r="I48" s="76"/>
      <c r="J48" s="77"/>
      <c r="K48" s="77"/>
      <c r="L48" s="77"/>
      <c r="M48" s="77"/>
      <c r="N48" s="77"/>
      <c r="O48" s="77"/>
      <c r="P48" s="77"/>
      <c r="Q48" s="77"/>
      <c r="R48" s="77"/>
      <c r="S48" s="78"/>
      <c r="T48" s="78"/>
      <c r="U48" s="77"/>
      <c r="V48" s="77"/>
      <c r="W48" s="79"/>
      <c r="X48" s="80"/>
      <c r="Y48" s="161">
        <f>SUM(I48:X49)</f>
        <v>0</v>
      </c>
      <c r="Z48" s="156">
        <f>COUNTIF(I48:X49,"&gt;0")</f>
        <v>0</v>
      </c>
      <c r="AA48" s="160">
        <f t="shared" ref="AA48" si="785">H48*Y48</f>
        <v>0</v>
      </c>
      <c r="AB48" s="81">
        <f t="shared" ref="AB48" si="786">IF(AO48&lt;1000, 0, AO48)</f>
        <v>0</v>
      </c>
      <c r="AC48" s="82">
        <f ca="1">IF(IFERROR($AN48&lt;65,FALSE), IF(B48&lt;&gt;"외국인", ROUNDDOWN(AA48*$AH$1%,-1), IF(AND(AM48&lt;&gt;"", ISNUMBER(SEARCH(LEFT(SUBSTITUTE(AM48, "-",""),2), "F2_F5_F6"))), ROUNDDOWN(AA48*$AH$1%,-1), 0)),0)</f>
        <v>0</v>
      </c>
      <c r="AD48" s="83">
        <f t="shared" ref="AD48" si="787">IF(Z48&gt;=$AJ$1,ROUNDDOWN(AA48*$AH$2%,-1),0)</f>
        <v>0</v>
      </c>
      <c r="AE48" s="160">
        <f t="shared" ref="AE48" ca="1" si="788">AB48+AC48+AB49+AC49+AD48+AD49</f>
        <v>0</v>
      </c>
      <c r="AF48" s="160">
        <f t="shared" ref="AF48" ca="1" si="789">AA48-AE48</f>
        <v>0</v>
      </c>
      <c r="AG48" s="156"/>
      <c r="AH48" s="156"/>
      <c r="AI48" s="156"/>
      <c r="AJ48" s="156"/>
      <c r="AK48" s="149"/>
      <c r="AL48" s="149"/>
      <c r="AM48" s="115"/>
      <c r="AN48" s="113" t="str">
        <f t="shared" ref="AN48" ca="1" si="790">IFERROR(DATEDIF(DATE(IF(ISNUMBER(FIND(MID( SUBSTITUTE(D48, "-",""), 7, 1), "3478")), 2000, 1900)+MID(D48,1,2), MID(D48,3,2), MID(D48,5,2)), TODAY(), "Y"),"")</f>
        <v/>
      </c>
      <c r="AO48" s="112">
        <f>ROUNDDOWN(SUM(AP48:BE49),-1)</f>
        <v>0</v>
      </c>
      <c r="AP48" s="11">
        <f t="shared" ref="AP48" si="791">IF($H48*I48&gt;150000,ROUNDDOWN(($H48*I48-150000)*6%*45%,0),0)</f>
        <v>0</v>
      </c>
      <c r="AQ48" s="12">
        <f t="shared" ref="AQ48" si="792">IF($H48*J48&gt;150000,ROUNDDOWN(($H48*J48-150000)*6%*45%,0),0)</f>
        <v>0</v>
      </c>
      <c r="AR48" s="12">
        <f t="shared" ref="AR48" si="793">IF($H48*K48&gt;150000,ROUNDDOWN(($H48*K48-150000)*6%*45%,0),0)</f>
        <v>0</v>
      </c>
      <c r="AS48" s="12">
        <f t="shared" ref="AS48" si="794">IF($H48*L48&gt;150000,ROUNDDOWN(($H48*L48-150000)*6%*45%,0),0)</f>
        <v>0</v>
      </c>
      <c r="AT48" s="12">
        <f t="shared" ref="AT48" si="795">IF($H48*M48&gt;150000,ROUNDDOWN(($H48*M48-150000)*6%*45%,0),0)</f>
        <v>0</v>
      </c>
      <c r="AU48" s="12">
        <f t="shared" ref="AU48" si="796">IF($H48*N48&gt;150000,ROUNDDOWN(($H48*N48-150000)*6%*45%,0),0)</f>
        <v>0</v>
      </c>
      <c r="AV48" s="12">
        <f t="shared" ref="AV48" si="797">IF($H48*O48&gt;150000,ROUNDDOWN(($H48*O48-150000)*6%*45%,0),0)</f>
        <v>0</v>
      </c>
      <c r="AW48" s="12">
        <f t="shared" ref="AW48" si="798">IF($H48*P48&gt;150000,ROUNDDOWN(($H48*P48-150000)*6%*45%,0),0)</f>
        <v>0</v>
      </c>
      <c r="AX48" s="12">
        <f t="shared" ref="AX48" si="799">IF($H48*Q48&gt;150000,ROUNDDOWN(($H48*Q48-150000)*6%*45%,0),0)</f>
        <v>0</v>
      </c>
      <c r="AY48" s="12">
        <f t="shared" ref="AY48" si="800">IF($H48*R48&gt;150000,ROUNDDOWN(($H48*R48-150000)*6%*45%,0),0)</f>
        <v>0</v>
      </c>
      <c r="AZ48" s="12">
        <f t="shared" ref="AZ48" si="801">IF($H48*S48&gt;150000,ROUNDDOWN(($H48*S48-150000)*6%*45%,0),0)</f>
        <v>0</v>
      </c>
      <c r="BA48" s="12">
        <f t="shared" ref="BA48" si="802">IF($H48*T48&gt;150000,ROUNDDOWN(($H48*T48-150000)*6%*45%,0),0)</f>
        <v>0</v>
      </c>
      <c r="BB48" s="12">
        <f t="shared" ref="BB48" si="803">IF($H48*U48&gt;150000,ROUNDDOWN(($H48*U48-150000)*6%*45%,0),0)</f>
        <v>0</v>
      </c>
      <c r="BC48" s="12">
        <f t="shared" ref="BC48" si="804">IF($H48*V48&gt;150000,ROUNDDOWN(($H48*V48-150000)*6%*45%,0),0)</f>
        <v>0</v>
      </c>
      <c r="BD48" s="13">
        <f t="shared" ref="BD48" si="805">IF($H48*W48&gt;150000,ROUNDDOWN(($H48*W48-150000)*6%*45%,0),0)</f>
        <v>0</v>
      </c>
      <c r="BE48" s="14"/>
    </row>
    <row r="49" spans="1:58" x14ac:dyDescent="0.3">
      <c r="A49" s="142"/>
      <c r="B49" s="116"/>
      <c r="C49" s="116"/>
      <c r="D49" s="143"/>
      <c r="E49" s="116"/>
      <c r="F49" s="116"/>
      <c r="G49" s="144"/>
      <c r="H49" s="112"/>
      <c r="I49" s="43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5"/>
      <c r="Y49" s="145"/>
      <c r="Z49" s="116"/>
      <c r="AA49" s="112"/>
      <c r="AB49" s="65">
        <f t="shared" ref="AB49" si="806">ROUNDDOWN(AB48*10%,-1)</f>
        <v>0</v>
      </c>
      <c r="AC49" s="66">
        <f t="shared" ref="AC49" ca="1" si="807">IFERROR(IF(AND( OR(COUNTIF(I48:X49, "&gt;0")&gt;=$AJ$1, AA48&gt;=$AJ$4),AN48&lt;60,AA48&lt;=$AH$5),ROUNDDOWN(ROUNDDOWN(AA48,-3)*$AH$4%,-1),IF(AND(COUNTIF(I48:X49,"&gt;0")&gt;=$AJ$1,AN48&lt;60,AA48&gt;$AH$5),$AJ$5,0)),0)</f>
        <v>0</v>
      </c>
      <c r="AD49" s="67">
        <f t="shared" ref="AD49" si="808">IF(Z48&gt;=$AJ$1,ROUNDDOWN(AD48*$AH$3%/($AH$2*2%),-1),0)</f>
        <v>0</v>
      </c>
      <c r="AE49" s="112"/>
      <c r="AF49" s="112"/>
      <c r="AG49" s="116"/>
      <c r="AH49" s="116"/>
      <c r="AI49" s="116"/>
      <c r="AJ49" s="116"/>
      <c r="AK49" s="149"/>
      <c r="AL49" s="149"/>
      <c r="AM49" s="115"/>
      <c r="AN49" s="113"/>
      <c r="AO49" s="112"/>
      <c r="AP49" s="15">
        <f t="shared" ref="AP49" si="809">IF($H48*I49&gt;150000,ROUNDDOWN(($H48*I49-150000)*6%*45%,0),0)</f>
        <v>0</v>
      </c>
      <c r="AQ49" s="16">
        <f t="shared" ref="AQ49" si="810">IF($H48*J49&gt;150000,ROUNDDOWN(($H48*J49-150000)*6%*45%,0),0)</f>
        <v>0</v>
      </c>
      <c r="AR49" s="16">
        <f t="shared" ref="AR49" si="811">IF($H48*K49&gt;150000,ROUNDDOWN(($H48*K49-150000)*6%*45%,0),0)</f>
        <v>0</v>
      </c>
      <c r="AS49" s="16">
        <f t="shared" ref="AS49" si="812">IF($H48*L49&gt;150000,ROUNDDOWN(($H48*L49-150000)*6%*45%,0),0)</f>
        <v>0</v>
      </c>
      <c r="AT49" s="16">
        <f t="shared" ref="AT49" si="813">IF($H48*M49&gt;150000,ROUNDDOWN(($H48*M49-150000)*6%*45%,0),0)</f>
        <v>0</v>
      </c>
      <c r="AU49" s="16">
        <f t="shared" ref="AU49" si="814">IF($H48*N49&gt;150000,ROUNDDOWN(($H48*N49-150000)*6%*45%,0),0)</f>
        <v>0</v>
      </c>
      <c r="AV49" s="16">
        <f t="shared" ref="AV49" si="815">IF($H48*O49&gt;150000,ROUNDDOWN(($H48*O49-150000)*6%*45%,0),0)</f>
        <v>0</v>
      </c>
      <c r="AW49" s="16">
        <f t="shared" ref="AW49" si="816">IF($H48*P49&gt;150000,ROUNDDOWN(($H48*P49-150000)*6%*45%,0),0)</f>
        <v>0</v>
      </c>
      <c r="AX49" s="16">
        <f t="shared" ref="AX49" si="817">IF($H48*Q49&gt;150000,ROUNDDOWN(($H48*Q49-150000)*6%*45%,0),0)</f>
        <v>0</v>
      </c>
      <c r="AY49" s="16">
        <f t="shared" ref="AY49" si="818">IF($H48*R49&gt;150000,ROUNDDOWN(($H48*R49-150000)*6%*45%,0),0)</f>
        <v>0</v>
      </c>
      <c r="AZ49" s="16">
        <f t="shared" ref="AZ49" si="819">IF($H48*S49&gt;150000,ROUNDDOWN(($H48*S49-150000)*6%*45%,0),0)</f>
        <v>0</v>
      </c>
      <c r="BA49" s="16">
        <f t="shared" ref="BA49" si="820">IF($H48*T49&gt;150000,ROUNDDOWN(($H48*T49-150000)*6%*45%,0),0)</f>
        <v>0</v>
      </c>
      <c r="BB49" s="16">
        <f t="shared" ref="BB49" si="821">IF($H48*U49&gt;150000,ROUNDDOWN(($H48*U49-150000)*6%*45%,0),0)</f>
        <v>0</v>
      </c>
      <c r="BC49" s="16">
        <f t="shared" ref="BC49" si="822">IF($H48*V49&gt;150000,ROUNDDOWN(($H48*V49-150000)*6%*45%,0),0)</f>
        <v>0</v>
      </c>
      <c r="BD49" s="16">
        <f t="shared" ref="BD49" si="823">IF($H48*W49&gt;150000,ROUNDDOWN(($H48*W49-150000)*6%*45%,0),0)</f>
        <v>0</v>
      </c>
      <c r="BE49" s="17">
        <f t="shared" ref="BE49" si="824">IF($H48*X49&gt;150000,ROUNDDOWN(($H48*X49-150000)*6%*45%,0),0)</f>
        <v>0</v>
      </c>
      <c r="BF49" s="28"/>
    </row>
    <row r="50" spans="1:58" x14ac:dyDescent="0.3">
      <c r="A50" s="142">
        <v>22</v>
      </c>
      <c r="B50" s="116" t="str">
        <f t="shared" ref="B50" si="825">IF(LEN(D50)&gt;1,IF(VALUE(MID(RIGHT(D50,7),1,1))&gt;4,"외국인",IF(VALUE(RIGHT(11-MOD((MID(D50,1,1)*2+MID(D50,2,1)*3+MID(D50,3,1)*4+MID(D50,4,1)*5+MID(D50,5,1)*6+MID(D50,6,1)*7+MID(RIGHT(D50,7),1,1)*8+MID(RIGHT(D50,7),2,1)*9+MID(RIGHT(D50,7),3,1)*2+MID(RIGHT(D50,7),4,1)*3+MID(RIGHT(D50,7),5,1)*4+MID(RIGHT(D50,7),6,1)*5),11),1))=VALUE(RIGHT(D50,1)),"","오류")),"")</f>
        <v/>
      </c>
      <c r="C50" s="116"/>
      <c r="D50" s="143"/>
      <c r="E50" s="116"/>
      <c r="F50" s="116"/>
      <c r="G50" s="144"/>
      <c r="H50" s="112"/>
      <c r="I50" s="38"/>
      <c r="J50" s="39"/>
      <c r="K50" s="39"/>
      <c r="L50" s="39"/>
      <c r="M50" s="39"/>
      <c r="N50" s="39"/>
      <c r="O50" s="39"/>
      <c r="P50" s="39"/>
      <c r="Q50" s="39"/>
      <c r="R50" s="39"/>
      <c r="S50" s="40"/>
      <c r="T50" s="40"/>
      <c r="U50" s="39"/>
      <c r="V50" s="39"/>
      <c r="W50" s="41"/>
      <c r="X50" s="42"/>
      <c r="Y50" s="145">
        <f>SUM(I50:X51)</f>
        <v>0</v>
      </c>
      <c r="Z50" s="116">
        <f>COUNTIF(I50:X51,"&gt;0")</f>
        <v>0</v>
      </c>
      <c r="AA50" s="112">
        <f t="shared" ref="AA50" si="826">H50*Y50</f>
        <v>0</v>
      </c>
      <c r="AB50" s="62">
        <f t="shared" ref="AB50" si="827">IF(AO50&lt;1000, 0, AO50)</f>
        <v>0</v>
      </c>
      <c r="AC50" s="63">
        <f ca="1">IF(IFERROR($AN50&lt;65,FALSE), IF(B50&lt;&gt;"외국인", ROUNDDOWN(AA50*$AH$1%,-1), IF(AND(AM50&lt;&gt;"", ISNUMBER(SEARCH(LEFT(SUBSTITUTE(AM50, "-",""),2), "F2_F5_F6"))), ROUNDDOWN(AA50*$AH$1%,-1), 0)),0)</f>
        <v>0</v>
      </c>
      <c r="AD50" s="64">
        <f t="shared" ref="AD50" si="828">IF(Z50&gt;=$AJ$1,ROUNDDOWN(AA50*$AH$2%,-1),0)</f>
        <v>0</v>
      </c>
      <c r="AE50" s="112">
        <f t="shared" ref="AE50" ca="1" si="829">AB50+AC50+AB51+AC51+AD50+AD51</f>
        <v>0</v>
      </c>
      <c r="AF50" s="112">
        <f t="shared" ref="AF50" ca="1" si="830">AA50-AE50</f>
        <v>0</v>
      </c>
      <c r="AG50" s="116"/>
      <c r="AH50" s="116"/>
      <c r="AI50" s="116"/>
      <c r="AJ50" s="116"/>
      <c r="AK50" s="149"/>
      <c r="AL50" s="149"/>
      <c r="AM50" s="115"/>
      <c r="AN50" s="113" t="str">
        <f t="shared" ref="AN50" ca="1" si="831">IFERROR(DATEDIF(DATE(IF(ISNUMBER(FIND(MID( SUBSTITUTE(D50, "-",""), 7, 1), "3478")), 2000, 1900)+MID(D50,1,2), MID(D50,3,2), MID(D50,5,2)), TODAY(), "Y"),"")</f>
        <v/>
      </c>
      <c r="AO50" s="112">
        <f>ROUNDDOWN(SUM(AP50:BE51),-1)</f>
        <v>0</v>
      </c>
      <c r="AP50" s="11">
        <f t="shared" ref="AP50" si="832">IF($H50*I50&gt;150000,ROUNDDOWN(($H50*I50-150000)*6%*45%,0),0)</f>
        <v>0</v>
      </c>
      <c r="AQ50" s="12">
        <f t="shared" ref="AQ50" si="833">IF($H50*J50&gt;150000,ROUNDDOWN(($H50*J50-150000)*6%*45%,0),0)</f>
        <v>0</v>
      </c>
      <c r="AR50" s="12">
        <f t="shared" ref="AR50" si="834">IF($H50*K50&gt;150000,ROUNDDOWN(($H50*K50-150000)*6%*45%,0),0)</f>
        <v>0</v>
      </c>
      <c r="AS50" s="12">
        <f t="shared" ref="AS50" si="835">IF($H50*L50&gt;150000,ROUNDDOWN(($H50*L50-150000)*6%*45%,0),0)</f>
        <v>0</v>
      </c>
      <c r="AT50" s="12">
        <f t="shared" ref="AT50" si="836">IF($H50*M50&gt;150000,ROUNDDOWN(($H50*M50-150000)*6%*45%,0),0)</f>
        <v>0</v>
      </c>
      <c r="AU50" s="12">
        <f t="shared" ref="AU50" si="837">IF($H50*N50&gt;150000,ROUNDDOWN(($H50*N50-150000)*6%*45%,0),0)</f>
        <v>0</v>
      </c>
      <c r="AV50" s="12">
        <f t="shared" ref="AV50" si="838">IF($H50*O50&gt;150000,ROUNDDOWN(($H50*O50-150000)*6%*45%,0),0)</f>
        <v>0</v>
      </c>
      <c r="AW50" s="12">
        <f t="shared" ref="AW50" si="839">IF($H50*P50&gt;150000,ROUNDDOWN(($H50*P50-150000)*6%*45%,0),0)</f>
        <v>0</v>
      </c>
      <c r="AX50" s="12">
        <f t="shared" ref="AX50" si="840">IF($H50*Q50&gt;150000,ROUNDDOWN(($H50*Q50-150000)*6%*45%,0),0)</f>
        <v>0</v>
      </c>
      <c r="AY50" s="12">
        <f t="shared" ref="AY50" si="841">IF($H50*R50&gt;150000,ROUNDDOWN(($H50*R50-150000)*6%*45%,0),0)</f>
        <v>0</v>
      </c>
      <c r="AZ50" s="12">
        <f t="shared" ref="AZ50" si="842">IF($H50*S50&gt;150000,ROUNDDOWN(($H50*S50-150000)*6%*45%,0),0)</f>
        <v>0</v>
      </c>
      <c r="BA50" s="12">
        <f t="shared" ref="BA50" si="843">IF($H50*T50&gt;150000,ROUNDDOWN(($H50*T50-150000)*6%*45%,0),0)</f>
        <v>0</v>
      </c>
      <c r="BB50" s="12">
        <f t="shared" ref="BB50" si="844">IF($H50*U50&gt;150000,ROUNDDOWN(($H50*U50-150000)*6%*45%,0),0)</f>
        <v>0</v>
      </c>
      <c r="BC50" s="12">
        <f t="shared" ref="BC50" si="845">IF($H50*V50&gt;150000,ROUNDDOWN(($H50*V50-150000)*6%*45%,0),0)</f>
        <v>0</v>
      </c>
      <c r="BD50" s="13">
        <f t="shared" ref="BD50" si="846">IF($H50*W50&gt;150000,ROUNDDOWN(($H50*W50-150000)*6%*45%,0),0)</f>
        <v>0</v>
      </c>
      <c r="BE50" s="14"/>
    </row>
    <row r="51" spans="1:58" x14ac:dyDescent="0.3">
      <c r="A51" s="142"/>
      <c r="B51" s="116"/>
      <c r="C51" s="116"/>
      <c r="D51" s="143"/>
      <c r="E51" s="116"/>
      <c r="F51" s="116"/>
      <c r="G51" s="144"/>
      <c r="H51" s="112"/>
      <c r="I51" s="43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5"/>
      <c r="Y51" s="145"/>
      <c r="Z51" s="116"/>
      <c r="AA51" s="112"/>
      <c r="AB51" s="65">
        <f t="shared" ref="AB51" si="847">ROUNDDOWN(AB50*10%,-1)</f>
        <v>0</v>
      </c>
      <c r="AC51" s="66">
        <f t="shared" ref="AC51" ca="1" si="848">IFERROR(IF(AND( OR(COUNTIF(I50:X51, "&gt;0")&gt;=$AJ$1, AA50&gt;=$AJ$4),AN50&lt;60,AA50&lt;=$AH$5),ROUNDDOWN(ROUNDDOWN(AA50,-3)*$AH$4%,-1),IF(AND(COUNTIF(I50:X51,"&gt;0")&gt;=$AJ$1,AN50&lt;60,AA50&gt;$AH$5),$AJ$5,0)),0)</f>
        <v>0</v>
      </c>
      <c r="AD51" s="67">
        <f t="shared" ref="AD51" si="849">IF(Z50&gt;=$AJ$1,ROUNDDOWN(AD50*$AH$3%/($AH$2*2%),-1),0)</f>
        <v>0</v>
      </c>
      <c r="AE51" s="112"/>
      <c r="AF51" s="112"/>
      <c r="AG51" s="116"/>
      <c r="AH51" s="116"/>
      <c r="AI51" s="116"/>
      <c r="AJ51" s="116"/>
      <c r="AK51" s="149"/>
      <c r="AL51" s="149"/>
      <c r="AM51" s="115"/>
      <c r="AN51" s="113"/>
      <c r="AO51" s="112"/>
      <c r="AP51" s="15">
        <f t="shared" ref="AP51" si="850">IF($H50*I51&gt;150000,ROUNDDOWN(($H50*I51-150000)*6%*45%,0),0)</f>
        <v>0</v>
      </c>
      <c r="AQ51" s="16">
        <f t="shared" ref="AQ51" si="851">IF($H50*J51&gt;150000,ROUNDDOWN(($H50*J51-150000)*6%*45%,0),0)</f>
        <v>0</v>
      </c>
      <c r="AR51" s="16">
        <f t="shared" ref="AR51" si="852">IF($H50*K51&gt;150000,ROUNDDOWN(($H50*K51-150000)*6%*45%,0),0)</f>
        <v>0</v>
      </c>
      <c r="AS51" s="16">
        <f t="shared" ref="AS51" si="853">IF($H50*L51&gt;150000,ROUNDDOWN(($H50*L51-150000)*6%*45%,0),0)</f>
        <v>0</v>
      </c>
      <c r="AT51" s="16">
        <f t="shared" ref="AT51" si="854">IF($H50*M51&gt;150000,ROUNDDOWN(($H50*M51-150000)*6%*45%,0),0)</f>
        <v>0</v>
      </c>
      <c r="AU51" s="16">
        <f t="shared" ref="AU51" si="855">IF($H50*N51&gt;150000,ROUNDDOWN(($H50*N51-150000)*6%*45%,0),0)</f>
        <v>0</v>
      </c>
      <c r="AV51" s="16">
        <f t="shared" ref="AV51" si="856">IF($H50*O51&gt;150000,ROUNDDOWN(($H50*O51-150000)*6%*45%,0),0)</f>
        <v>0</v>
      </c>
      <c r="AW51" s="16">
        <f t="shared" ref="AW51" si="857">IF($H50*P51&gt;150000,ROUNDDOWN(($H50*P51-150000)*6%*45%,0),0)</f>
        <v>0</v>
      </c>
      <c r="AX51" s="16">
        <f t="shared" ref="AX51" si="858">IF($H50*Q51&gt;150000,ROUNDDOWN(($H50*Q51-150000)*6%*45%,0),0)</f>
        <v>0</v>
      </c>
      <c r="AY51" s="16">
        <f t="shared" ref="AY51" si="859">IF($H50*R51&gt;150000,ROUNDDOWN(($H50*R51-150000)*6%*45%,0),0)</f>
        <v>0</v>
      </c>
      <c r="AZ51" s="16">
        <f t="shared" ref="AZ51" si="860">IF($H50*S51&gt;150000,ROUNDDOWN(($H50*S51-150000)*6%*45%,0),0)</f>
        <v>0</v>
      </c>
      <c r="BA51" s="16">
        <f t="shared" ref="BA51" si="861">IF($H50*T51&gt;150000,ROUNDDOWN(($H50*T51-150000)*6%*45%,0),0)</f>
        <v>0</v>
      </c>
      <c r="BB51" s="16">
        <f t="shared" ref="BB51" si="862">IF($H50*U51&gt;150000,ROUNDDOWN(($H50*U51-150000)*6%*45%,0),0)</f>
        <v>0</v>
      </c>
      <c r="BC51" s="16">
        <f t="shared" ref="BC51" si="863">IF($H50*V51&gt;150000,ROUNDDOWN(($H50*V51-150000)*6%*45%,0),0)</f>
        <v>0</v>
      </c>
      <c r="BD51" s="16">
        <f t="shared" ref="BD51" si="864">IF($H50*W51&gt;150000,ROUNDDOWN(($H50*W51-150000)*6%*45%,0),0)</f>
        <v>0</v>
      </c>
      <c r="BE51" s="17">
        <f t="shared" ref="BE51" si="865">IF($H50*X51&gt;150000,ROUNDDOWN(($H50*X51-150000)*6%*45%,0),0)</f>
        <v>0</v>
      </c>
      <c r="BF51" s="28"/>
    </row>
    <row r="52" spans="1:58" x14ac:dyDescent="0.3">
      <c r="A52" s="142">
        <v>23</v>
      </c>
      <c r="B52" s="116" t="str">
        <f t="shared" ref="B52" si="866">IF(LEN(D52)&gt;1,IF(VALUE(MID(RIGHT(D52,7),1,1))&gt;4,"외국인",IF(VALUE(RIGHT(11-MOD((MID(D52,1,1)*2+MID(D52,2,1)*3+MID(D52,3,1)*4+MID(D52,4,1)*5+MID(D52,5,1)*6+MID(D52,6,1)*7+MID(RIGHT(D52,7),1,1)*8+MID(RIGHT(D52,7),2,1)*9+MID(RIGHT(D52,7),3,1)*2+MID(RIGHT(D52,7),4,1)*3+MID(RIGHT(D52,7),5,1)*4+MID(RIGHT(D52,7),6,1)*5),11),1))=VALUE(RIGHT(D52,1)),"","오류")),"")</f>
        <v/>
      </c>
      <c r="C52" s="116"/>
      <c r="D52" s="143"/>
      <c r="E52" s="116"/>
      <c r="F52" s="116"/>
      <c r="G52" s="144"/>
      <c r="H52" s="112"/>
      <c r="I52" s="38"/>
      <c r="J52" s="39"/>
      <c r="K52" s="39"/>
      <c r="L52" s="39"/>
      <c r="M52" s="39"/>
      <c r="N52" s="39"/>
      <c r="O52" s="39"/>
      <c r="P52" s="39"/>
      <c r="Q52" s="39"/>
      <c r="R52" s="39"/>
      <c r="S52" s="40"/>
      <c r="T52" s="40"/>
      <c r="U52" s="39"/>
      <c r="V52" s="39"/>
      <c r="W52" s="41"/>
      <c r="X52" s="42"/>
      <c r="Y52" s="145">
        <f>SUM(I52:X53)</f>
        <v>0</v>
      </c>
      <c r="Z52" s="116">
        <f>COUNTIF(I52:X53,"&gt;0")</f>
        <v>0</v>
      </c>
      <c r="AA52" s="112">
        <f t="shared" ref="AA52" si="867">H52*Y52</f>
        <v>0</v>
      </c>
      <c r="AB52" s="62">
        <f t="shared" ref="AB52" si="868">IF(AO52&lt;1000, 0, AO52)</f>
        <v>0</v>
      </c>
      <c r="AC52" s="63">
        <f ca="1">IF(IFERROR($AN52&lt;65,FALSE), IF(B52&lt;&gt;"외국인", ROUNDDOWN(AA52*$AH$1%,-1), IF(AND(AM52&lt;&gt;"", ISNUMBER(SEARCH(LEFT(SUBSTITUTE(AM52, "-",""),2), "F2_F5_F6"))), ROUNDDOWN(AA52*$AH$1%,-1), 0)),0)</f>
        <v>0</v>
      </c>
      <c r="AD52" s="64">
        <f t="shared" ref="AD52" si="869">IF(Z52&gt;=$AJ$1,ROUNDDOWN(AA52*$AH$2%,-1),0)</f>
        <v>0</v>
      </c>
      <c r="AE52" s="112">
        <f t="shared" ref="AE52" ca="1" si="870">AB52+AC52+AB53+AC53+AD52+AD53</f>
        <v>0</v>
      </c>
      <c r="AF52" s="112">
        <f t="shared" ref="AF52" ca="1" si="871">AA52-AE52</f>
        <v>0</v>
      </c>
      <c r="AG52" s="116"/>
      <c r="AH52" s="116"/>
      <c r="AI52" s="116"/>
      <c r="AJ52" s="116"/>
      <c r="AK52" s="149"/>
      <c r="AL52" s="149"/>
      <c r="AM52" s="115"/>
      <c r="AN52" s="113" t="str">
        <f t="shared" ref="AN52" ca="1" si="872">IFERROR(DATEDIF(DATE(IF(ISNUMBER(FIND(MID( SUBSTITUTE(D52, "-",""), 7, 1), "3478")), 2000, 1900)+MID(D52,1,2), MID(D52,3,2), MID(D52,5,2)), TODAY(), "Y"),"")</f>
        <v/>
      </c>
      <c r="AO52" s="112">
        <f>ROUNDDOWN(SUM(AP52:BE53),-1)</f>
        <v>0</v>
      </c>
      <c r="AP52" s="11">
        <f t="shared" ref="AP52" si="873">IF($H52*I52&gt;150000,ROUNDDOWN(($H52*I52-150000)*6%*45%,0),0)</f>
        <v>0</v>
      </c>
      <c r="AQ52" s="12">
        <f t="shared" ref="AQ52" si="874">IF($H52*J52&gt;150000,ROUNDDOWN(($H52*J52-150000)*6%*45%,0),0)</f>
        <v>0</v>
      </c>
      <c r="AR52" s="12">
        <f t="shared" ref="AR52" si="875">IF($H52*K52&gt;150000,ROUNDDOWN(($H52*K52-150000)*6%*45%,0),0)</f>
        <v>0</v>
      </c>
      <c r="AS52" s="12">
        <f t="shared" ref="AS52" si="876">IF($H52*L52&gt;150000,ROUNDDOWN(($H52*L52-150000)*6%*45%,0),0)</f>
        <v>0</v>
      </c>
      <c r="AT52" s="12">
        <f t="shared" ref="AT52" si="877">IF($H52*M52&gt;150000,ROUNDDOWN(($H52*M52-150000)*6%*45%,0),0)</f>
        <v>0</v>
      </c>
      <c r="AU52" s="12">
        <f t="shared" ref="AU52" si="878">IF($H52*N52&gt;150000,ROUNDDOWN(($H52*N52-150000)*6%*45%,0),0)</f>
        <v>0</v>
      </c>
      <c r="AV52" s="12">
        <f t="shared" ref="AV52" si="879">IF($H52*O52&gt;150000,ROUNDDOWN(($H52*O52-150000)*6%*45%,0),0)</f>
        <v>0</v>
      </c>
      <c r="AW52" s="12">
        <f t="shared" ref="AW52" si="880">IF($H52*P52&gt;150000,ROUNDDOWN(($H52*P52-150000)*6%*45%,0),0)</f>
        <v>0</v>
      </c>
      <c r="AX52" s="12">
        <f t="shared" ref="AX52" si="881">IF($H52*Q52&gt;150000,ROUNDDOWN(($H52*Q52-150000)*6%*45%,0),0)</f>
        <v>0</v>
      </c>
      <c r="AY52" s="12">
        <f t="shared" ref="AY52" si="882">IF($H52*R52&gt;150000,ROUNDDOWN(($H52*R52-150000)*6%*45%,0),0)</f>
        <v>0</v>
      </c>
      <c r="AZ52" s="12">
        <f t="shared" ref="AZ52" si="883">IF($H52*S52&gt;150000,ROUNDDOWN(($H52*S52-150000)*6%*45%,0),0)</f>
        <v>0</v>
      </c>
      <c r="BA52" s="12">
        <f t="shared" ref="BA52" si="884">IF($H52*T52&gt;150000,ROUNDDOWN(($H52*T52-150000)*6%*45%,0),0)</f>
        <v>0</v>
      </c>
      <c r="BB52" s="12">
        <f t="shared" ref="BB52" si="885">IF($H52*U52&gt;150000,ROUNDDOWN(($H52*U52-150000)*6%*45%,0),0)</f>
        <v>0</v>
      </c>
      <c r="BC52" s="12">
        <f t="shared" ref="BC52" si="886">IF($H52*V52&gt;150000,ROUNDDOWN(($H52*V52-150000)*6%*45%,0),0)</f>
        <v>0</v>
      </c>
      <c r="BD52" s="13">
        <f t="shared" ref="BD52" si="887">IF($H52*W52&gt;150000,ROUNDDOWN(($H52*W52-150000)*6%*45%,0),0)</f>
        <v>0</v>
      </c>
      <c r="BE52" s="14"/>
    </row>
    <row r="53" spans="1:58" x14ac:dyDescent="0.3">
      <c r="A53" s="142"/>
      <c r="B53" s="116"/>
      <c r="C53" s="116"/>
      <c r="D53" s="143"/>
      <c r="E53" s="116"/>
      <c r="F53" s="116"/>
      <c r="G53" s="144"/>
      <c r="H53" s="112"/>
      <c r="I53" s="43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5"/>
      <c r="Y53" s="145"/>
      <c r="Z53" s="116"/>
      <c r="AA53" s="112"/>
      <c r="AB53" s="65">
        <f t="shared" ref="AB53" si="888">ROUNDDOWN(AB52*10%,-1)</f>
        <v>0</v>
      </c>
      <c r="AC53" s="66">
        <f t="shared" ref="AC53" ca="1" si="889">IFERROR(IF(AND( OR(COUNTIF(I52:X53, "&gt;0")&gt;=$AJ$1, AA52&gt;=$AJ$4),AN52&lt;60,AA52&lt;=$AH$5),ROUNDDOWN(ROUNDDOWN(AA52,-3)*$AH$4%,-1),IF(AND(COUNTIF(I52:X53,"&gt;0")&gt;=$AJ$1,AN52&lt;60,AA52&gt;$AH$5),$AJ$5,0)),0)</f>
        <v>0</v>
      </c>
      <c r="AD53" s="67">
        <f t="shared" ref="AD53" si="890">IF(Z52&gt;=$AJ$1,ROUNDDOWN(AD52*$AH$3%/($AH$2*2%),-1),0)</f>
        <v>0</v>
      </c>
      <c r="AE53" s="112"/>
      <c r="AF53" s="112"/>
      <c r="AG53" s="116"/>
      <c r="AH53" s="116"/>
      <c r="AI53" s="116"/>
      <c r="AJ53" s="116"/>
      <c r="AK53" s="149"/>
      <c r="AL53" s="149"/>
      <c r="AM53" s="115"/>
      <c r="AN53" s="113"/>
      <c r="AO53" s="112"/>
      <c r="AP53" s="15">
        <f t="shared" ref="AP53" si="891">IF($H52*I53&gt;150000,ROUNDDOWN(($H52*I53-150000)*6%*45%,0),0)</f>
        <v>0</v>
      </c>
      <c r="AQ53" s="16">
        <f t="shared" ref="AQ53" si="892">IF($H52*J53&gt;150000,ROUNDDOWN(($H52*J53-150000)*6%*45%,0),0)</f>
        <v>0</v>
      </c>
      <c r="AR53" s="16">
        <f t="shared" ref="AR53" si="893">IF($H52*K53&gt;150000,ROUNDDOWN(($H52*K53-150000)*6%*45%,0),0)</f>
        <v>0</v>
      </c>
      <c r="AS53" s="16">
        <f t="shared" ref="AS53" si="894">IF($H52*L53&gt;150000,ROUNDDOWN(($H52*L53-150000)*6%*45%,0),0)</f>
        <v>0</v>
      </c>
      <c r="AT53" s="16">
        <f t="shared" ref="AT53" si="895">IF($H52*M53&gt;150000,ROUNDDOWN(($H52*M53-150000)*6%*45%,0),0)</f>
        <v>0</v>
      </c>
      <c r="AU53" s="16">
        <f t="shared" ref="AU53" si="896">IF($H52*N53&gt;150000,ROUNDDOWN(($H52*N53-150000)*6%*45%,0),0)</f>
        <v>0</v>
      </c>
      <c r="AV53" s="16">
        <f t="shared" ref="AV53" si="897">IF($H52*O53&gt;150000,ROUNDDOWN(($H52*O53-150000)*6%*45%,0),0)</f>
        <v>0</v>
      </c>
      <c r="AW53" s="16">
        <f t="shared" ref="AW53" si="898">IF($H52*P53&gt;150000,ROUNDDOWN(($H52*P53-150000)*6%*45%,0),0)</f>
        <v>0</v>
      </c>
      <c r="AX53" s="16">
        <f t="shared" ref="AX53" si="899">IF($H52*Q53&gt;150000,ROUNDDOWN(($H52*Q53-150000)*6%*45%,0),0)</f>
        <v>0</v>
      </c>
      <c r="AY53" s="16">
        <f t="shared" ref="AY53" si="900">IF($H52*R53&gt;150000,ROUNDDOWN(($H52*R53-150000)*6%*45%,0),0)</f>
        <v>0</v>
      </c>
      <c r="AZ53" s="16">
        <f t="shared" ref="AZ53" si="901">IF($H52*S53&gt;150000,ROUNDDOWN(($H52*S53-150000)*6%*45%,0),0)</f>
        <v>0</v>
      </c>
      <c r="BA53" s="16">
        <f t="shared" ref="BA53" si="902">IF($H52*T53&gt;150000,ROUNDDOWN(($H52*T53-150000)*6%*45%,0),0)</f>
        <v>0</v>
      </c>
      <c r="BB53" s="16">
        <f t="shared" ref="BB53" si="903">IF($H52*U53&gt;150000,ROUNDDOWN(($H52*U53-150000)*6%*45%,0),0)</f>
        <v>0</v>
      </c>
      <c r="BC53" s="16">
        <f t="shared" ref="BC53" si="904">IF($H52*V53&gt;150000,ROUNDDOWN(($H52*V53-150000)*6%*45%,0),0)</f>
        <v>0</v>
      </c>
      <c r="BD53" s="16">
        <f t="shared" ref="BD53" si="905">IF($H52*W53&gt;150000,ROUNDDOWN(($H52*W53-150000)*6%*45%,0),0)</f>
        <v>0</v>
      </c>
      <c r="BE53" s="17">
        <f t="shared" ref="BE53" si="906">IF($H52*X53&gt;150000,ROUNDDOWN(($H52*X53-150000)*6%*45%,0),0)</f>
        <v>0</v>
      </c>
      <c r="BF53" s="28"/>
    </row>
    <row r="54" spans="1:58" x14ac:dyDescent="0.3">
      <c r="A54" s="142">
        <v>24</v>
      </c>
      <c r="B54" s="116" t="str">
        <f t="shared" ref="B54" si="907">IF(LEN(D54)&gt;1,IF(VALUE(MID(RIGHT(D54,7),1,1))&gt;4,"외국인",IF(VALUE(RIGHT(11-MOD((MID(D54,1,1)*2+MID(D54,2,1)*3+MID(D54,3,1)*4+MID(D54,4,1)*5+MID(D54,5,1)*6+MID(D54,6,1)*7+MID(RIGHT(D54,7),1,1)*8+MID(RIGHT(D54,7),2,1)*9+MID(RIGHT(D54,7),3,1)*2+MID(RIGHT(D54,7),4,1)*3+MID(RIGHT(D54,7),5,1)*4+MID(RIGHT(D54,7),6,1)*5),11),1))=VALUE(RIGHT(D54,1)),"","오류")),"")</f>
        <v/>
      </c>
      <c r="C54" s="116"/>
      <c r="D54" s="143"/>
      <c r="E54" s="116"/>
      <c r="F54" s="116"/>
      <c r="G54" s="144"/>
      <c r="H54" s="112"/>
      <c r="I54" s="38"/>
      <c r="J54" s="39"/>
      <c r="K54" s="39"/>
      <c r="L54" s="39"/>
      <c r="M54" s="39"/>
      <c r="N54" s="39"/>
      <c r="O54" s="39"/>
      <c r="P54" s="39"/>
      <c r="Q54" s="39"/>
      <c r="R54" s="39"/>
      <c r="S54" s="40"/>
      <c r="T54" s="40"/>
      <c r="U54" s="39"/>
      <c r="V54" s="39"/>
      <c r="W54" s="41"/>
      <c r="X54" s="42"/>
      <c r="Y54" s="145">
        <f>SUM(I54:X55)</f>
        <v>0</v>
      </c>
      <c r="Z54" s="116">
        <f>COUNTIF(I54:X55,"&gt;0")</f>
        <v>0</v>
      </c>
      <c r="AA54" s="112">
        <f t="shared" ref="AA54" si="908">H54*Y54</f>
        <v>0</v>
      </c>
      <c r="AB54" s="62">
        <f t="shared" ref="AB54" si="909">IF(AO54&lt;1000, 0, AO54)</f>
        <v>0</v>
      </c>
      <c r="AC54" s="63">
        <f ca="1">IF(IFERROR($AN54&lt;65,FALSE), IF(B54&lt;&gt;"외국인", ROUNDDOWN(AA54*$AH$1%,-1), IF(AND(AM54&lt;&gt;"", ISNUMBER(SEARCH(LEFT(SUBSTITUTE(AM54, "-",""),2), "F2_F5_F6"))), ROUNDDOWN(AA54*$AH$1%,-1), 0)),0)</f>
        <v>0</v>
      </c>
      <c r="AD54" s="64">
        <f t="shared" ref="AD54" si="910">IF(Z54&gt;=$AJ$1,ROUNDDOWN(AA54*$AH$2%,-1),0)</f>
        <v>0</v>
      </c>
      <c r="AE54" s="112">
        <f t="shared" ref="AE54" ca="1" si="911">AB54+AC54+AB55+AC55+AD54+AD55</f>
        <v>0</v>
      </c>
      <c r="AF54" s="112">
        <f t="shared" ref="AF54" ca="1" si="912">AA54-AE54</f>
        <v>0</v>
      </c>
      <c r="AG54" s="116"/>
      <c r="AH54" s="116"/>
      <c r="AI54" s="116"/>
      <c r="AJ54" s="116"/>
      <c r="AK54" s="149"/>
      <c r="AL54" s="149"/>
      <c r="AM54" s="115"/>
      <c r="AN54" s="113" t="str">
        <f t="shared" ref="AN54" ca="1" si="913">IFERROR(DATEDIF(DATE(IF(ISNUMBER(FIND(MID( SUBSTITUTE(D54, "-",""), 7, 1), "3478")), 2000, 1900)+MID(D54,1,2), MID(D54,3,2), MID(D54,5,2)), TODAY(), "Y"),"")</f>
        <v/>
      </c>
      <c r="AO54" s="112">
        <f>ROUNDDOWN(SUM(AP54:BE55),-1)</f>
        <v>0</v>
      </c>
      <c r="AP54" s="11">
        <f t="shared" ref="AP54" si="914">IF($H54*I54&gt;150000,ROUNDDOWN(($H54*I54-150000)*6%*45%,0),0)</f>
        <v>0</v>
      </c>
      <c r="AQ54" s="12">
        <f t="shared" ref="AQ54" si="915">IF($H54*J54&gt;150000,ROUNDDOWN(($H54*J54-150000)*6%*45%,0),0)</f>
        <v>0</v>
      </c>
      <c r="AR54" s="12">
        <f t="shared" ref="AR54" si="916">IF($H54*K54&gt;150000,ROUNDDOWN(($H54*K54-150000)*6%*45%,0),0)</f>
        <v>0</v>
      </c>
      <c r="AS54" s="12">
        <f t="shared" ref="AS54" si="917">IF($H54*L54&gt;150000,ROUNDDOWN(($H54*L54-150000)*6%*45%,0),0)</f>
        <v>0</v>
      </c>
      <c r="AT54" s="12">
        <f t="shared" ref="AT54" si="918">IF($H54*M54&gt;150000,ROUNDDOWN(($H54*M54-150000)*6%*45%,0),0)</f>
        <v>0</v>
      </c>
      <c r="AU54" s="12">
        <f t="shared" ref="AU54" si="919">IF($H54*N54&gt;150000,ROUNDDOWN(($H54*N54-150000)*6%*45%,0),0)</f>
        <v>0</v>
      </c>
      <c r="AV54" s="12">
        <f t="shared" ref="AV54" si="920">IF($H54*O54&gt;150000,ROUNDDOWN(($H54*O54-150000)*6%*45%,0),0)</f>
        <v>0</v>
      </c>
      <c r="AW54" s="12">
        <f t="shared" ref="AW54" si="921">IF($H54*P54&gt;150000,ROUNDDOWN(($H54*P54-150000)*6%*45%,0),0)</f>
        <v>0</v>
      </c>
      <c r="AX54" s="12">
        <f t="shared" ref="AX54" si="922">IF($H54*Q54&gt;150000,ROUNDDOWN(($H54*Q54-150000)*6%*45%,0),0)</f>
        <v>0</v>
      </c>
      <c r="AY54" s="12">
        <f t="shared" ref="AY54" si="923">IF($H54*R54&gt;150000,ROUNDDOWN(($H54*R54-150000)*6%*45%,0),0)</f>
        <v>0</v>
      </c>
      <c r="AZ54" s="12">
        <f t="shared" ref="AZ54" si="924">IF($H54*S54&gt;150000,ROUNDDOWN(($H54*S54-150000)*6%*45%,0),0)</f>
        <v>0</v>
      </c>
      <c r="BA54" s="12">
        <f t="shared" ref="BA54" si="925">IF($H54*T54&gt;150000,ROUNDDOWN(($H54*T54-150000)*6%*45%,0),0)</f>
        <v>0</v>
      </c>
      <c r="BB54" s="12">
        <f t="shared" ref="BB54" si="926">IF($H54*U54&gt;150000,ROUNDDOWN(($H54*U54-150000)*6%*45%,0),0)</f>
        <v>0</v>
      </c>
      <c r="BC54" s="12">
        <f t="shared" ref="BC54" si="927">IF($H54*V54&gt;150000,ROUNDDOWN(($H54*V54-150000)*6%*45%,0),0)</f>
        <v>0</v>
      </c>
      <c r="BD54" s="13">
        <f t="shared" ref="BD54" si="928">IF($H54*W54&gt;150000,ROUNDDOWN(($H54*W54-150000)*6%*45%,0),0)</f>
        <v>0</v>
      </c>
      <c r="BE54" s="14"/>
    </row>
    <row r="55" spans="1:58" x14ac:dyDescent="0.3">
      <c r="A55" s="142"/>
      <c r="B55" s="116"/>
      <c r="C55" s="116"/>
      <c r="D55" s="143"/>
      <c r="E55" s="116"/>
      <c r="F55" s="116"/>
      <c r="G55" s="144"/>
      <c r="H55" s="112"/>
      <c r="I55" s="43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5"/>
      <c r="Y55" s="145"/>
      <c r="Z55" s="116"/>
      <c r="AA55" s="112"/>
      <c r="AB55" s="65">
        <f t="shared" ref="AB55" si="929">ROUNDDOWN(AB54*10%,-1)</f>
        <v>0</v>
      </c>
      <c r="AC55" s="66">
        <f t="shared" ref="AC55" ca="1" si="930">IFERROR(IF(AND( OR(COUNTIF(I54:X55, "&gt;0")&gt;=$AJ$1, AA54&gt;=$AJ$4),AN54&lt;60,AA54&lt;=$AH$5),ROUNDDOWN(ROUNDDOWN(AA54,-3)*$AH$4%,-1),IF(AND(COUNTIF(I54:X55,"&gt;0")&gt;=$AJ$1,AN54&lt;60,AA54&gt;$AH$5),$AJ$5,0)),0)</f>
        <v>0</v>
      </c>
      <c r="AD55" s="67">
        <f t="shared" ref="AD55" si="931">IF(Z54&gt;=$AJ$1,ROUNDDOWN(AD54*$AH$3%/($AH$2*2%),-1),0)</f>
        <v>0</v>
      </c>
      <c r="AE55" s="112"/>
      <c r="AF55" s="112"/>
      <c r="AG55" s="116"/>
      <c r="AH55" s="116"/>
      <c r="AI55" s="116"/>
      <c r="AJ55" s="116"/>
      <c r="AK55" s="149"/>
      <c r="AL55" s="149"/>
      <c r="AM55" s="115"/>
      <c r="AN55" s="113"/>
      <c r="AO55" s="112"/>
      <c r="AP55" s="15">
        <f t="shared" ref="AP55" si="932">IF($H54*I55&gt;150000,ROUNDDOWN(($H54*I55-150000)*6%*45%,0),0)</f>
        <v>0</v>
      </c>
      <c r="AQ55" s="16">
        <f t="shared" ref="AQ55" si="933">IF($H54*J55&gt;150000,ROUNDDOWN(($H54*J55-150000)*6%*45%,0),0)</f>
        <v>0</v>
      </c>
      <c r="AR55" s="16">
        <f t="shared" ref="AR55" si="934">IF($H54*K55&gt;150000,ROUNDDOWN(($H54*K55-150000)*6%*45%,0),0)</f>
        <v>0</v>
      </c>
      <c r="AS55" s="16">
        <f t="shared" ref="AS55" si="935">IF($H54*L55&gt;150000,ROUNDDOWN(($H54*L55-150000)*6%*45%,0),0)</f>
        <v>0</v>
      </c>
      <c r="AT55" s="16">
        <f t="shared" ref="AT55" si="936">IF($H54*M55&gt;150000,ROUNDDOWN(($H54*M55-150000)*6%*45%,0),0)</f>
        <v>0</v>
      </c>
      <c r="AU55" s="16">
        <f t="shared" ref="AU55" si="937">IF($H54*N55&gt;150000,ROUNDDOWN(($H54*N55-150000)*6%*45%,0),0)</f>
        <v>0</v>
      </c>
      <c r="AV55" s="16">
        <f t="shared" ref="AV55" si="938">IF($H54*O55&gt;150000,ROUNDDOWN(($H54*O55-150000)*6%*45%,0),0)</f>
        <v>0</v>
      </c>
      <c r="AW55" s="16">
        <f t="shared" ref="AW55" si="939">IF($H54*P55&gt;150000,ROUNDDOWN(($H54*P55-150000)*6%*45%,0),0)</f>
        <v>0</v>
      </c>
      <c r="AX55" s="16">
        <f t="shared" ref="AX55" si="940">IF($H54*Q55&gt;150000,ROUNDDOWN(($H54*Q55-150000)*6%*45%,0),0)</f>
        <v>0</v>
      </c>
      <c r="AY55" s="16">
        <f t="shared" ref="AY55" si="941">IF($H54*R55&gt;150000,ROUNDDOWN(($H54*R55-150000)*6%*45%,0),0)</f>
        <v>0</v>
      </c>
      <c r="AZ55" s="16">
        <f t="shared" ref="AZ55" si="942">IF($H54*S55&gt;150000,ROUNDDOWN(($H54*S55-150000)*6%*45%,0),0)</f>
        <v>0</v>
      </c>
      <c r="BA55" s="16">
        <f t="shared" ref="BA55" si="943">IF($H54*T55&gt;150000,ROUNDDOWN(($H54*T55-150000)*6%*45%,0),0)</f>
        <v>0</v>
      </c>
      <c r="BB55" s="16">
        <f t="shared" ref="BB55" si="944">IF($H54*U55&gt;150000,ROUNDDOWN(($H54*U55-150000)*6%*45%,0),0)</f>
        <v>0</v>
      </c>
      <c r="BC55" s="16">
        <f t="shared" ref="BC55" si="945">IF($H54*V55&gt;150000,ROUNDDOWN(($H54*V55-150000)*6%*45%,0),0)</f>
        <v>0</v>
      </c>
      <c r="BD55" s="16">
        <f t="shared" ref="BD55" si="946">IF($H54*W55&gt;150000,ROUNDDOWN(($H54*W55-150000)*6%*45%,0),0)</f>
        <v>0</v>
      </c>
      <c r="BE55" s="17">
        <f t="shared" ref="BE55" si="947">IF($H54*X55&gt;150000,ROUNDDOWN(($H54*X55-150000)*6%*45%,0),0)</f>
        <v>0</v>
      </c>
      <c r="BF55" s="28"/>
    </row>
    <row r="56" spans="1:58" x14ac:dyDescent="0.3">
      <c r="A56" s="142">
        <v>25</v>
      </c>
      <c r="B56" s="116" t="str">
        <f t="shared" ref="B56" si="948">IF(LEN(D56)&gt;1,IF(VALUE(MID(RIGHT(D56,7),1,1))&gt;4,"외국인",IF(VALUE(RIGHT(11-MOD((MID(D56,1,1)*2+MID(D56,2,1)*3+MID(D56,3,1)*4+MID(D56,4,1)*5+MID(D56,5,1)*6+MID(D56,6,1)*7+MID(RIGHT(D56,7),1,1)*8+MID(RIGHT(D56,7),2,1)*9+MID(RIGHT(D56,7),3,1)*2+MID(RIGHT(D56,7),4,1)*3+MID(RIGHT(D56,7),5,1)*4+MID(RIGHT(D56,7),6,1)*5),11),1))=VALUE(RIGHT(D56,1)),"","오류")),"")</f>
        <v/>
      </c>
      <c r="C56" s="116"/>
      <c r="D56" s="143"/>
      <c r="E56" s="116"/>
      <c r="F56" s="116"/>
      <c r="G56" s="144"/>
      <c r="H56" s="112"/>
      <c r="I56" s="38"/>
      <c r="J56" s="39"/>
      <c r="K56" s="39"/>
      <c r="L56" s="39"/>
      <c r="M56" s="39"/>
      <c r="N56" s="39"/>
      <c r="O56" s="39"/>
      <c r="P56" s="39"/>
      <c r="Q56" s="39"/>
      <c r="R56" s="39"/>
      <c r="S56" s="40"/>
      <c r="T56" s="40"/>
      <c r="U56" s="39"/>
      <c r="V56" s="39"/>
      <c r="W56" s="41"/>
      <c r="X56" s="42"/>
      <c r="Y56" s="145">
        <f>SUM(I56:X57)</f>
        <v>0</v>
      </c>
      <c r="Z56" s="116">
        <f>COUNTIF(I56:X57,"&gt;0")</f>
        <v>0</v>
      </c>
      <c r="AA56" s="112">
        <f t="shared" ref="AA56" si="949">H56*Y56</f>
        <v>0</v>
      </c>
      <c r="AB56" s="62">
        <f t="shared" ref="AB56" si="950">IF(AO56&lt;1000, 0, AO56)</f>
        <v>0</v>
      </c>
      <c r="AC56" s="63">
        <f ca="1">IF(IFERROR($AN56&lt;65,FALSE), IF(B56&lt;&gt;"외국인", ROUNDDOWN(AA56*$AH$1%,-1), IF(AND(AM56&lt;&gt;"", ISNUMBER(SEARCH(LEFT(SUBSTITUTE(AM56, "-",""),2), "F2_F5_F6"))), ROUNDDOWN(AA56*$AH$1%,-1), 0)),0)</f>
        <v>0</v>
      </c>
      <c r="AD56" s="64">
        <f t="shared" ref="AD56" si="951">IF(Z56&gt;=$AJ$1,ROUNDDOWN(AA56*$AH$2%,-1),0)</f>
        <v>0</v>
      </c>
      <c r="AE56" s="112">
        <f t="shared" ref="AE56" ca="1" si="952">AB56+AC56+AB57+AC57+AD56+AD57</f>
        <v>0</v>
      </c>
      <c r="AF56" s="112">
        <f t="shared" ref="AF56" ca="1" si="953">AA56-AE56</f>
        <v>0</v>
      </c>
      <c r="AG56" s="116"/>
      <c r="AH56" s="116"/>
      <c r="AI56" s="116"/>
      <c r="AJ56" s="116"/>
      <c r="AK56" s="149"/>
      <c r="AL56" s="149"/>
      <c r="AM56" s="115"/>
      <c r="AN56" s="113" t="str">
        <f t="shared" ref="AN56" ca="1" si="954">IFERROR(DATEDIF(DATE(IF(ISNUMBER(FIND(MID( SUBSTITUTE(D56, "-",""), 7, 1), "3478")), 2000, 1900)+MID(D56,1,2), MID(D56,3,2), MID(D56,5,2)), TODAY(), "Y"),"")</f>
        <v/>
      </c>
      <c r="AO56" s="112">
        <f>ROUNDDOWN(SUM(AP56:BE57),-1)</f>
        <v>0</v>
      </c>
      <c r="AP56" s="11">
        <f t="shared" ref="AP56" si="955">IF($H56*I56&gt;150000,ROUNDDOWN(($H56*I56-150000)*6%*45%,0),0)</f>
        <v>0</v>
      </c>
      <c r="AQ56" s="12">
        <f t="shared" ref="AQ56" si="956">IF($H56*J56&gt;150000,ROUNDDOWN(($H56*J56-150000)*6%*45%,0),0)</f>
        <v>0</v>
      </c>
      <c r="AR56" s="12">
        <f t="shared" ref="AR56" si="957">IF($H56*K56&gt;150000,ROUNDDOWN(($H56*K56-150000)*6%*45%,0),0)</f>
        <v>0</v>
      </c>
      <c r="AS56" s="12">
        <f t="shared" ref="AS56" si="958">IF($H56*L56&gt;150000,ROUNDDOWN(($H56*L56-150000)*6%*45%,0),0)</f>
        <v>0</v>
      </c>
      <c r="AT56" s="12">
        <f t="shared" ref="AT56" si="959">IF($H56*M56&gt;150000,ROUNDDOWN(($H56*M56-150000)*6%*45%,0),0)</f>
        <v>0</v>
      </c>
      <c r="AU56" s="12">
        <f t="shared" ref="AU56" si="960">IF($H56*N56&gt;150000,ROUNDDOWN(($H56*N56-150000)*6%*45%,0),0)</f>
        <v>0</v>
      </c>
      <c r="AV56" s="12">
        <f t="shared" ref="AV56" si="961">IF($H56*O56&gt;150000,ROUNDDOWN(($H56*O56-150000)*6%*45%,0),0)</f>
        <v>0</v>
      </c>
      <c r="AW56" s="12">
        <f t="shared" ref="AW56" si="962">IF($H56*P56&gt;150000,ROUNDDOWN(($H56*P56-150000)*6%*45%,0),0)</f>
        <v>0</v>
      </c>
      <c r="AX56" s="12">
        <f t="shared" ref="AX56" si="963">IF($H56*Q56&gt;150000,ROUNDDOWN(($H56*Q56-150000)*6%*45%,0),0)</f>
        <v>0</v>
      </c>
      <c r="AY56" s="12">
        <f t="shared" ref="AY56" si="964">IF($H56*R56&gt;150000,ROUNDDOWN(($H56*R56-150000)*6%*45%,0),0)</f>
        <v>0</v>
      </c>
      <c r="AZ56" s="12">
        <f t="shared" ref="AZ56" si="965">IF($H56*S56&gt;150000,ROUNDDOWN(($H56*S56-150000)*6%*45%,0),0)</f>
        <v>0</v>
      </c>
      <c r="BA56" s="12">
        <f t="shared" ref="BA56" si="966">IF($H56*T56&gt;150000,ROUNDDOWN(($H56*T56-150000)*6%*45%,0),0)</f>
        <v>0</v>
      </c>
      <c r="BB56" s="12">
        <f t="shared" ref="BB56" si="967">IF($H56*U56&gt;150000,ROUNDDOWN(($H56*U56-150000)*6%*45%,0),0)</f>
        <v>0</v>
      </c>
      <c r="BC56" s="12">
        <f t="shared" ref="BC56" si="968">IF($H56*V56&gt;150000,ROUNDDOWN(($H56*V56-150000)*6%*45%,0),0)</f>
        <v>0</v>
      </c>
      <c r="BD56" s="13">
        <f t="shared" ref="BD56" si="969">IF($H56*W56&gt;150000,ROUNDDOWN(($H56*W56-150000)*6%*45%,0),0)</f>
        <v>0</v>
      </c>
      <c r="BE56" s="14"/>
    </row>
    <row r="57" spans="1:58" x14ac:dyDescent="0.3">
      <c r="A57" s="142"/>
      <c r="B57" s="116"/>
      <c r="C57" s="116"/>
      <c r="D57" s="143"/>
      <c r="E57" s="116"/>
      <c r="F57" s="116"/>
      <c r="G57" s="144"/>
      <c r="H57" s="112"/>
      <c r="I57" s="43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5"/>
      <c r="Y57" s="145"/>
      <c r="Z57" s="116"/>
      <c r="AA57" s="112"/>
      <c r="AB57" s="65">
        <f t="shared" ref="AB57" si="970">ROUNDDOWN(AB56*10%,-1)</f>
        <v>0</v>
      </c>
      <c r="AC57" s="66">
        <f t="shared" ref="AC57" ca="1" si="971">IFERROR(IF(AND( OR(COUNTIF(I56:X57, "&gt;0")&gt;=$AJ$1, AA56&gt;=$AJ$4),AN56&lt;60,AA56&lt;=$AH$5),ROUNDDOWN(ROUNDDOWN(AA56,-3)*$AH$4%,-1),IF(AND(COUNTIF(I56:X57,"&gt;0")&gt;=$AJ$1,AN56&lt;60,AA56&gt;$AH$5),$AJ$5,0)),0)</f>
        <v>0</v>
      </c>
      <c r="AD57" s="67">
        <f t="shared" ref="AD57" si="972">IF(Z56&gt;=$AJ$1,ROUNDDOWN(AD56*$AH$3%/($AH$2*2%),-1),0)</f>
        <v>0</v>
      </c>
      <c r="AE57" s="112"/>
      <c r="AF57" s="112"/>
      <c r="AG57" s="116"/>
      <c r="AH57" s="116"/>
      <c r="AI57" s="116"/>
      <c r="AJ57" s="116"/>
      <c r="AK57" s="149"/>
      <c r="AL57" s="149"/>
      <c r="AM57" s="115"/>
      <c r="AN57" s="113"/>
      <c r="AO57" s="112"/>
      <c r="AP57" s="15">
        <f t="shared" ref="AP57" si="973">IF($H56*I57&gt;150000,ROUNDDOWN(($H56*I57-150000)*6%*45%,0),0)</f>
        <v>0</v>
      </c>
      <c r="AQ57" s="16">
        <f t="shared" ref="AQ57" si="974">IF($H56*J57&gt;150000,ROUNDDOWN(($H56*J57-150000)*6%*45%,0),0)</f>
        <v>0</v>
      </c>
      <c r="AR57" s="16">
        <f t="shared" ref="AR57" si="975">IF($H56*K57&gt;150000,ROUNDDOWN(($H56*K57-150000)*6%*45%,0),0)</f>
        <v>0</v>
      </c>
      <c r="AS57" s="16">
        <f t="shared" ref="AS57" si="976">IF($H56*L57&gt;150000,ROUNDDOWN(($H56*L57-150000)*6%*45%,0),0)</f>
        <v>0</v>
      </c>
      <c r="AT57" s="16">
        <f t="shared" ref="AT57" si="977">IF($H56*M57&gt;150000,ROUNDDOWN(($H56*M57-150000)*6%*45%,0),0)</f>
        <v>0</v>
      </c>
      <c r="AU57" s="16">
        <f t="shared" ref="AU57" si="978">IF($H56*N57&gt;150000,ROUNDDOWN(($H56*N57-150000)*6%*45%,0),0)</f>
        <v>0</v>
      </c>
      <c r="AV57" s="16">
        <f t="shared" ref="AV57" si="979">IF($H56*O57&gt;150000,ROUNDDOWN(($H56*O57-150000)*6%*45%,0),0)</f>
        <v>0</v>
      </c>
      <c r="AW57" s="16">
        <f t="shared" ref="AW57" si="980">IF($H56*P57&gt;150000,ROUNDDOWN(($H56*P57-150000)*6%*45%,0),0)</f>
        <v>0</v>
      </c>
      <c r="AX57" s="16">
        <f t="shared" ref="AX57" si="981">IF($H56*Q57&gt;150000,ROUNDDOWN(($H56*Q57-150000)*6%*45%,0),0)</f>
        <v>0</v>
      </c>
      <c r="AY57" s="16">
        <f t="shared" ref="AY57" si="982">IF($H56*R57&gt;150000,ROUNDDOWN(($H56*R57-150000)*6%*45%,0),0)</f>
        <v>0</v>
      </c>
      <c r="AZ57" s="16">
        <f t="shared" ref="AZ57" si="983">IF($H56*S57&gt;150000,ROUNDDOWN(($H56*S57-150000)*6%*45%,0),0)</f>
        <v>0</v>
      </c>
      <c r="BA57" s="16">
        <f t="shared" ref="BA57" si="984">IF($H56*T57&gt;150000,ROUNDDOWN(($H56*T57-150000)*6%*45%,0),0)</f>
        <v>0</v>
      </c>
      <c r="BB57" s="16">
        <f t="shared" ref="BB57" si="985">IF($H56*U57&gt;150000,ROUNDDOWN(($H56*U57-150000)*6%*45%,0),0)</f>
        <v>0</v>
      </c>
      <c r="BC57" s="16">
        <f t="shared" ref="BC57" si="986">IF($H56*V57&gt;150000,ROUNDDOWN(($H56*V57-150000)*6%*45%,0),0)</f>
        <v>0</v>
      </c>
      <c r="BD57" s="16">
        <f t="shared" ref="BD57" si="987">IF($H56*W57&gt;150000,ROUNDDOWN(($H56*W57-150000)*6%*45%,0),0)</f>
        <v>0</v>
      </c>
      <c r="BE57" s="17">
        <f t="shared" ref="BE57" si="988">IF($H56*X57&gt;150000,ROUNDDOWN(($H56*X57-150000)*6%*45%,0),0)</f>
        <v>0</v>
      </c>
      <c r="BF57" s="28"/>
    </row>
    <row r="58" spans="1:58" x14ac:dyDescent="0.3">
      <c r="A58" s="142">
        <v>26</v>
      </c>
      <c r="B58" s="116" t="str">
        <f t="shared" ref="B58" si="989">IF(LEN(D58)&gt;1,IF(VALUE(MID(RIGHT(D58,7),1,1))&gt;4,"외국인",IF(VALUE(RIGHT(11-MOD((MID(D58,1,1)*2+MID(D58,2,1)*3+MID(D58,3,1)*4+MID(D58,4,1)*5+MID(D58,5,1)*6+MID(D58,6,1)*7+MID(RIGHT(D58,7),1,1)*8+MID(RIGHT(D58,7),2,1)*9+MID(RIGHT(D58,7),3,1)*2+MID(RIGHT(D58,7),4,1)*3+MID(RIGHT(D58,7),5,1)*4+MID(RIGHT(D58,7),6,1)*5),11),1))=VALUE(RIGHT(D58,1)),"","오류")),"")</f>
        <v/>
      </c>
      <c r="C58" s="116"/>
      <c r="D58" s="143"/>
      <c r="E58" s="116"/>
      <c r="F58" s="116"/>
      <c r="G58" s="144"/>
      <c r="H58" s="112"/>
      <c r="I58" s="38"/>
      <c r="J58" s="39"/>
      <c r="K58" s="39"/>
      <c r="L58" s="39"/>
      <c r="M58" s="39"/>
      <c r="N58" s="39"/>
      <c r="O58" s="39"/>
      <c r="P58" s="39"/>
      <c r="Q58" s="39"/>
      <c r="R58" s="39"/>
      <c r="S58" s="40"/>
      <c r="T58" s="40"/>
      <c r="U58" s="39"/>
      <c r="V58" s="39"/>
      <c r="W58" s="41"/>
      <c r="X58" s="42"/>
      <c r="Y58" s="145">
        <f>SUM(I58:X59)</f>
        <v>0</v>
      </c>
      <c r="Z58" s="116">
        <f>COUNTIF(I58:X59,"&gt;0")</f>
        <v>0</v>
      </c>
      <c r="AA58" s="112">
        <f t="shared" ref="AA58" si="990">H58*Y58</f>
        <v>0</v>
      </c>
      <c r="AB58" s="62">
        <f t="shared" ref="AB58" si="991">IF(AO58&lt;1000, 0, AO58)</f>
        <v>0</v>
      </c>
      <c r="AC58" s="63">
        <f ca="1">IF(IFERROR($AN58&lt;65,FALSE), IF(B58&lt;&gt;"외국인", ROUNDDOWN(AA58*$AH$1%,-1), IF(AND(AM58&lt;&gt;"", ISNUMBER(SEARCH(LEFT(SUBSTITUTE(AM58, "-",""),2), "F2_F5_F6"))), ROUNDDOWN(AA58*$AH$1%,-1), 0)),0)</f>
        <v>0</v>
      </c>
      <c r="AD58" s="64">
        <f t="shared" ref="AD58" si="992">IF(Z58&gt;=$AJ$1,ROUNDDOWN(AA58*$AH$2%,-1),0)</f>
        <v>0</v>
      </c>
      <c r="AE58" s="112">
        <f t="shared" ref="AE58" ca="1" si="993">AB58+AC58+AB59+AC59+AD58+AD59</f>
        <v>0</v>
      </c>
      <c r="AF58" s="112">
        <f t="shared" ref="AF58" ca="1" si="994">AA58-AE58</f>
        <v>0</v>
      </c>
      <c r="AG58" s="116"/>
      <c r="AH58" s="116"/>
      <c r="AI58" s="116"/>
      <c r="AJ58" s="116"/>
      <c r="AK58" s="149"/>
      <c r="AL58" s="149"/>
      <c r="AM58" s="115"/>
      <c r="AN58" s="113" t="str">
        <f t="shared" ref="AN58" ca="1" si="995">IFERROR(DATEDIF(DATE(IF(ISNUMBER(FIND(MID( SUBSTITUTE(D58, "-",""), 7, 1), "3478")), 2000, 1900)+MID(D58,1,2), MID(D58,3,2), MID(D58,5,2)), TODAY(), "Y"),"")</f>
        <v/>
      </c>
      <c r="AO58" s="112">
        <f>ROUNDDOWN(SUM(AP58:BE59),-1)</f>
        <v>0</v>
      </c>
      <c r="AP58" s="11">
        <f t="shared" ref="AP58" si="996">IF($H58*I58&gt;150000,ROUNDDOWN(($H58*I58-150000)*6%*45%,0),0)</f>
        <v>0</v>
      </c>
      <c r="AQ58" s="12">
        <f t="shared" ref="AQ58" si="997">IF($H58*J58&gt;150000,ROUNDDOWN(($H58*J58-150000)*6%*45%,0),0)</f>
        <v>0</v>
      </c>
      <c r="AR58" s="12">
        <f t="shared" ref="AR58" si="998">IF($H58*K58&gt;150000,ROUNDDOWN(($H58*K58-150000)*6%*45%,0),0)</f>
        <v>0</v>
      </c>
      <c r="AS58" s="12">
        <f t="shared" ref="AS58" si="999">IF($H58*L58&gt;150000,ROUNDDOWN(($H58*L58-150000)*6%*45%,0),0)</f>
        <v>0</v>
      </c>
      <c r="AT58" s="12">
        <f t="shared" ref="AT58" si="1000">IF($H58*M58&gt;150000,ROUNDDOWN(($H58*M58-150000)*6%*45%,0),0)</f>
        <v>0</v>
      </c>
      <c r="AU58" s="12">
        <f t="shared" ref="AU58" si="1001">IF($H58*N58&gt;150000,ROUNDDOWN(($H58*N58-150000)*6%*45%,0),0)</f>
        <v>0</v>
      </c>
      <c r="AV58" s="12">
        <f t="shared" ref="AV58" si="1002">IF($H58*O58&gt;150000,ROUNDDOWN(($H58*O58-150000)*6%*45%,0),0)</f>
        <v>0</v>
      </c>
      <c r="AW58" s="12">
        <f t="shared" ref="AW58" si="1003">IF($H58*P58&gt;150000,ROUNDDOWN(($H58*P58-150000)*6%*45%,0),0)</f>
        <v>0</v>
      </c>
      <c r="AX58" s="12">
        <f t="shared" ref="AX58" si="1004">IF($H58*Q58&gt;150000,ROUNDDOWN(($H58*Q58-150000)*6%*45%,0),0)</f>
        <v>0</v>
      </c>
      <c r="AY58" s="12">
        <f t="shared" ref="AY58" si="1005">IF($H58*R58&gt;150000,ROUNDDOWN(($H58*R58-150000)*6%*45%,0),0)</f>
        <v>0</v>
      </c>
      <c r="AZ58" s="12">
        <f t="shared" ref="AZ58" si="1006">IF($H58*S58&gt;150000,ROUNDDOWN(($H58*S58-150000)*6%*45%,0),0)</f>
        <v>0</v>
      </c>
      <c r="BA58" s="12">
        <f t="shared" ref="BA58" si="1007">IF($H58*T58&gt;150000,ROUNDDOWN(($H58*T58-150000)*6%*45%,0),0)</f>
        <v>0</v>
      </c>
      <c r="BB58" s="12">
        <f t="shared" ref="BB58" si="1008">IF($H58*U58&gt;150000,ROUNDDOWN(($H58*U58-150000)*6%*45%,0),0)</f>
        <v>0</v>
      </c>
      <c r="BC58" s="12">
        <f t="shared" ref="BC58" si="1009">IF($H58*V58&gt;150000,ROUNDDOWN(($H58*V58-150000)*6%*45%,0),0)</f>
        <v>0</v>
      </c>
      <c r="BD58" s="13">
        <f t="shared" ref="BD58" si="1010">IF($H58*W58&gt;150000,ROUNDDOWN(($H58*W58-150000)*6%*45%,0),0)</f>
        <v>0</v>
      </c>
      <c r="BE58" s="14"/>
    </row>
    <row r="59" spans="1:58" x14ac:dyDescent="0.3">
      <c r="A59" s="142"/>
      <c r="B59" s="116"/>
      <c r="C59" s="116"/>
      <c r="D59" s="143"/>
      <c r="E59" s="116"/>
      <c r="F59" s="116"/>
      <c r="G59" s="144"/>
      <c r="H59" s="112"/>
      <c r="I59" s="43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5"/>
      <c r="Y59" s="145"/>
      <c r="Z59" s="116"/>
      <c r="AA59" s="112"/>
      <c r="AB59" s="65">
        <f t="shared" ref="AB59" si="1011">ROUNDDOWN(AB58*10%,-1)</f>
        <v>0</v>
      </c>
      <c r="AC59" s="66">
        <f t="shared" ref="AC59" ca="1" si="1012">IFERROR(IF(AND( OR(COUNTIF(I58:X59, "&gt;0")&gt;=$AJ$1, AA58&gt;=$AJ$4),AN58&lt;60,AA58&lt;=$AH$5),ROUNDDOWN(ROUNDDOWN(AA58,-3)*$AH$4%,-1),IF(AND(COUNTIF(I58:X59,"&gt;0")&gt;=$AJ$1,AN58&lt;60,AA58&gt;$AH$5),$AJ$5,0)),0)</f>
        <v>0</v>
      </c>
      <c r="AD59" s="67">
        <f t="shared" ref="AD59" si="1013">IF(Z58&gt;=$AJ$1,ROUNDDOWN(AD58*$AH$3%/($AH$2*2%),-1),0)</f>
        <v>0</v>
      </c>
      <c r="AE59" s="112"/>
      <c r="AF59" s="112"/>
      <c r="AG59" s="116"/>
      <c r="AH59" s="116"/>
      <c r="AI59" s="116"/>
      <c r="AJ59" s="116"/>
      <c r="AK59" s="149"/>
      <c r="AL59" s="149"/>
      <c r="AM59" s="115"/>
      <c r="AN59" s="113"/>
      <c r="AO59" s="112"/>
      <c r="AP59" s="15">
        <f t="shared" ref="AP59" si="1014">IF($H58*I59&gt;150000,ROUNDDOWN(($H58*I59-150000)*6%*45%,0),0)</f>
        <v>0</v>
      </c>
      <c r="AQ59" s="16">
        <f t="shared" ref="AQ59" si="1015">IF($H58*J59&gt;150000,ROUNDDOWN(($H58*J59-150000)*6%*45%,0),0)</f>
        <v>0</v>
      </c>
      <c r="AR59" s="16">
        <f t="shared" ref="AR59" si="1016">IF($H58*K59&gt;150000,ROUNDDOWN(($H58*K59-150000)*6%*45%,0),0)</f>
        <v>0</v>
      </c>
      <c r="AS59" s="16">
        <f t="shared" ref="AS59" si="1017">IF($H58*L59&gt;150000,ROUNDDOWN(($H58*L59-150000)*6%*45%,0),0)</f>
        <v>0</v>
      </c>
      <c r="AT59" s="16">
        <f t="shared" ref="AT59" si="1018">IF($H58*M59&gt;150000,ROUNDDOWN(($H58*M59-150000)*6%*45%,0),0)</f>
        <v>0</v>
      </c>
      <c r="AU59" s="16">
        <f t="shared" ref="AU59" si="1019">IF($H58*N59&gt;150000,ROUNDDOWN(($H58*N59-150000)*6%*45%,0),0)</f>
        <v>0</v>
      </c>
      <c r="AV59" s="16">
        <f t="shared" ref="AV59" si="1020">IF($H58*O59&gt;150000,ROUNDDOWN(($H58*O59-150000)*6%*45%,0),0)</f>
        <v>0</v>
      </c>
      <c r="AW59" s="16">
        <f t="shared" ref="AW59" si="1021">IF($H58*P59&gt;150000,ROUNDDOWN(($H58*P59-150000)*6%*45%,0),0)</f>
        <v>0</v>
      </c>
      <c r="AX59" s="16">
        <f t="shared" ref="AX59" si="1022">IF($H58*Q59&gt;150000,ROUNDDOWN(($H58*Q59-150000)*6%*45%,0),0)</f>
        <v>0</v>
      </c>
      <c r="AY59" s="16">
        <f t="shared" ref="AY59" si="1023">IF($H58*R59&gt;150000,ROUNDDOWN(($H58*R59-150000)*6%*45%,0),0)</f>
        <v>0</v>
      </c>
      <c r="AZ59" s="16">
        <f t="shared" ref="AZ59" si="1024">IF($H58*S59&gt;150000,ROUNDDOWN(($H58*S59-150000)*6%*45%,0),0)</f>
        <v>0</v>
      </c>
      <c r="BA59" s="16">
        <f t="shared" ref="BA59" si="1025">IF($H58*T59&gt;150000,ROUNDDOWN(($H58*T59-150000)*6%*45%,0),0)</f>
        <v>0</v>
      </c>
      <c r="BB59" s="16">
        <f t="shared" ref="BB59" si="1026">IF($H58*U59&gt;150000,ROUNDDOWN(($H58*U59-150000)*6%*45%,0),0)</f>
        <v>0</v>
      </c>
      <c r="BC59" s="16">
        <f t="shared" ref="BC59" si="1027">IF($H58*V59&gt;150000,ROUNDDOWN(($H58*V59-150000)*6%*45%,0),0)</f>
        <v>0</v>
      </c>
      <c r="BD59" s="16">
        <f t="shared" ref="BD59" si="1028">IF($H58*W59&gt;150000,ROUNDDOWN(($H58*W59-150000)*6%*45%,0),0)</f>
        <v>0</v>
      </c>
      <c r="BE59" s="17">
        <f t="shared" ref="BE59" si="1029">IF($H58*X59&gt;150000,ROUNDDOWN(($H58*X59-150000)*6%*45%,0),0)</f>
        <v>0</v>
      </c>
      <c r="BF59" s="28"/>
    </row>
    <row r="60" spans="1:58" x14ac:dyDescent="0.3">
      <c r="A60" s="142">
        <v>27</v>
      </c>
      <c r="B60" s="116" t="str">
        <f t="shared" ref="B60" si="1030">IF(LEN(D60)&gt;1,IF(VALUE(MID(RIGHT(D60,7),1,1))&gt;4,"외국인",IF(VALUE(RIGHT(11-MOD((MID(D60,1,1)*2+MID(D60,2,1)*3+MID(D60,3,1)*4+MID(D60,4,1)*5+MID(D60,5,1)*6+MID(D60,6,1)*7+MID(RIGHT(D60,7),1,1)*8+MID(RIGHT(D60,7),2,1)*9+MID(RIGHT(D60,7),3,1)*2+MID(RIGHT(D60,7),4,1)*3+MID(RIGHT(D60,7),5,1)*4+MID(RIGHT(D60,7),6,1)*5),11),1))=VALUE(RIGHT(D60,1)),"","오류")),"")</f>
        <v/>
      </c>
      <c r="C60" s="116"/>
      <c r="D60" s="143"/>
      <c r="E60" s="116"/>
      <c r="F60" s="116"/>
      <c r="G60" s="144"/>
      <c r="H60" s="112"/>
      <c r="I60" s="38"/>
      <c r="J60" s="39"/>
      <c r="K60" s="39"/>
      <c r="L60" s="39"/>
      <c r="M60" s="39"/>
      <c r="N60" s="39"/>
      <c r="O60" s="39"/>
      <c r="P60" s="39"/>
      <c r="Q60" s="39"/>
      <c r="R60" s="39"/>
      <c r="S60" s="40"/>
      <c r="T60" s="40"/>
      <c r="U60" s="39"/>
      <c r="V60" s="39"/>
      <c r="W60" s="41"/>
      <c r="X60" s="42"/>
      <c r="Y60" s="145">
        <f>SUM(I60:X61)</f>
        <v>0</v>
      </c>
      <c r="Z60" s="116">
        <f>COUNTIF(I60:X61,"&gt;0")</f>
        <v>0</v>
      </c>
      <c r="AA60" s="112">
        <f t="shared" ref="AA60" si="1031">H60*Y60</f>
        <v>0</v>
      </c>
      <c r="AB60" s="62">
        <f t="shared" ref="AB60" si="1032">IF(AO60&lt;1000, 0, AO60)</f>
        <v>0</v>
      </c>
      <c r="AC60" s="63">
        <f ca="1">IF(IFERROR($AN60&lt;65,FALSE), IF(B60&lt;&gt;"외국인", ROUNDDOWN(AA60*$AH$1%,-1), IF(AND(AM60&lt;&gt;"", ISNUMBER(SEARCH(LEFT(SUBSTITUTE(AM60, "-",""),2), "F2_F5_F6"))), ROUNDDOWN(AA60*$AH$1%,-1), 0)),0)</f>
        <v>0</v>
      </c>
      <c r="AD60" s="64">
        <f t="shared" ref="AD60" si="1033">IF(Z60&gt;=$AJ$1,ROUNDDOWN(AA60*$AH$2%,-1),0)</f>
        <v>0</v>
      </c>
      <c r="AE60" s="112">
        <f t="shared" ref="AE60" ca="1" si="1034">AB60+AC60+AB61+AC61+AD60+AD61</f>
        <v>0</v>
      </c>
      <c r="AF60" s="112">
        <f t="shared" ref="AF60" ca="1" si="1035">AA60-AE60</f>
        <v>0</v>
      </c>
      <c r="AG60" s="116"/>
      <c r="AH60" s="116"/>
      <c r="AI60" s="116"/>
      <c r="AJ60" s="116"/>
      <c r="AK60" s="149"/>
      <c r="AL60" s="149"/>
      <c r="AM60" s="115"/>
      <c r="AN60" s="113" t="str">
        <f t="shared" ref="AN60" ca="1" si="1036">IFERROR(DATEDIF(DATE(IF(ISNUMBER(FIND(MID( SUBSTITUTE(D60, "-",""), 7, 1), "3478")), 2000, 1900)+MID(D60,1,2), MID(D60,3,2), MID(D60,5,2)), TODAY(), "Y"),"")</f>
        <v/>
      </c>
      <c r="AO60" s="112">
        <f>ROUNDDOWN(SUM(AP60:BE61),-1)</f>
        <v>0</v>
      </c>
      <c r="AP60" s="11">
        <f t="shared" ref="AP60" si="1037">IF($H60*I60&gt;150000,ROUNDDOWN(($H60*I60-150000)*6%*45%,0),0)</f>
        <v>0</v>
      </c>
      <c r="AQ60" s="12">
        <f t="shared" ref="AQ60" si="1038">IF($H60*J60&gt;150000,ROUNDDOWN(($H60*J60-150000)*6%*45%,0),0)</f>
        <v>0</v>
      </c>
      <c r="AR60" s="12">
        <f t="shared" ref="AR60" si="1039">IF($H60*K60&gt;150000,ROUNDDOWN(($H60*K60-150000)*6%*45%,0),0)</f>
        <v>0</v>
      </c>
      <c r="AS60" s="12">
        <f t="shared" ref="AS60" si="1040">IF($H60*L60&gt;150000,ROUNDDOWN(($H60*L60-150000)*6%*45%,0),0)</f>
        <v>0</v>
      </c>
      <c r="AT60" s="12">
        <f t="shared" ref="AT60" si="1041">IF($H60*M60&gt;150000,ROUNDDOWN(($H60*M60-150000)*6%*45%,0),0)</f>
        <v>0</v>
      </c>
      <c r="AU60" s="12">
        <f t="shared" ref="AU60" si="1042">IF($H60*N60&gt;150000,ROUNDDOWN(($H60*N60-150000)*6%*45%,0),0)</f>
        <v>0</v>
      </c>
      <c r="AV60" s="12">
        <f t="shared" ref="AV60" si="1043">IF($H60*O60&gt;150000,ROUNDDOWN(($H60*O60-150000)*6%*45%,0),0)</f>
        <v>0</v>
      </c>
      <c r="AW60" s="12">
        <f t="shared" ref="AW60" si="1044">IF($H60*P60&gt;150000,ROUNDDOWN(($H60*P60-150000)*6%*45%,0),0)</f>
        <v>0</v>
      </c>
      <c r="AX60" s="12">
        <f t="shared" ref="AX60" si="1045">IF($H60*Q60&gt;150000,ROUNDDOWN(($H60*Q60-150000)*6%*45%,0),0)</f>
        <v>0</v>
      </c>
      <c r="AY60" s="12">
        <f t="shared" ref="AY60" si="1046">IF($H60*R60&gt;150000,ROUNDDOWN(($H60*R60-150000)*6%*45%,0),0)</f>
        <v>0</v>
      </c>
      <c r="AZ60" s="12">
        <f t="shared" ref="AZ60" si="1047">IF($H60*S60&gt;150000,ROUNDDOWN(($H60*S60-150000)*6%*45%,0),0)</f>
        <v>0</v>
      </c>
      <c r="BA60" s="12">
        <f t="shared" ref="BA60" si="1048">IF($H60*T60&gt;150000,ROUNDDOWN(($H60*T60-150000)*6%*45%,0),0)</f>
        <v>0</v>
      </c>
      <c r="BB60" s="12">
        <f t="shared" ref="BB60" si="1049">IF($H60*U60&gt;150000,ROUNDDOWN(($H60*U60-150000)*6%*45%,0),0)</f>
        <v>0</v>
      </c>
      <c r="BC60" s="12">
        <f t="shared" ref="BC60" si="1050">IF($H60*V60&gt;150000,ROUNDDOWN(($H60*V60-150000)*6%*45%,0),0)</f>
        <v>0</v>
      </c>
      <c r="BD60" s="13">
        <f t="shared" ref="BD60" si="1051">IF($H60*W60&gt;150000,ROUNDDOWN(($H60*W60-150000)*6%*45%,0),0)</f>
        <v>0</v>
      </c>
      <c r="BE60" s="14"/>
    </row>
    <row r="61" spans="1:58" x14ac:dyDescent="0.3">
      <c r="A61" s="142"/>
      <c r="B61" s="116"/>
      <c r="C61" s="116"/>
      <c r="D61" s="143"/>
      <c r="E61" s="116"/>
      <c r="F61" s="116"/>
      <c r="G61" s="144"/>
      <c r="H61" s="112"/>
      <c r="I61" s="43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5"/>
      <c r="Y61" s="145"/>
      <c r="Z61" s="116"/>
      <c r="AA61" s="112"/>
      <c r="AB61" s="65">
        <f t="shared" ref="AB61" si="1052">ROUNDDOWN(AB60*10%,-1)</f>
        <v>0</v>
      </c>
      <c r="AC61" s="66">
        <f t="shared" ref="AC61" ca="1" si="1053">IFERROR(IF(AND( OR(COUNTIF(I60:X61, "&gt;0")&gt;=$AJ$1, AA60&gt;=$AJ$4),AN60&lt;60,AA60&lt;=$AH$5),ROUNDDOWN(ROUNDDOWN(AA60,-3)*$AH$4%,-1),IF(AND(COUNTIF(I60:X61,"&gt;0")&gt;=$AJ$1,AN60&lt;60,AA60&gt;$AH$5),$AJ$5,0)),0)</f>
        <v>0</v>
      </c>
      <c r="AD61" s="67">
        <f t="shared" ref="AD61" si="1054">IF(Z60&gt;=$AJ$1,ROUNDDOWN(AD60*$AH$3%/($AH$2*2%),-1),0)</f>
        <v>0</v>
      </c>
      <c r="AE61" s="112"/>
      <c r="AF61" s="112"/>
      <c r="AG61" s="116"/>
      <c r="AH61" s="116"/>
      <c r="AI61" s="116"/>
      <c r="AJ61" s="116"/>
      <c r="AK61" s="149"/>
      <c r="AL61" s="149"/>
      <c r="AM61" s="115"/>
      <c r="AN61" s="113"/>
      <c r="AO61" s="112"/>
      <c r="AP61" s="15">
        <f t="shared" ref="AP61" si="1055">IF($H60*I61&gt;150000,ROUNDDOWN(($H60*I61-150000)*6%*45%,0),0)</f>
        <v>0</v>
      </c>
      <c r="AQ61" s="16">
        <f t="shared" ref="AQ61" si="1056">IF($H60*J61&gt;150000,ROUNDDOWN(($H60*J61-150000)*6%*45%,0),0)</f>
        <v>0</v>
      </c>
      <c r="AR61" s="16">
        <f t="shared" ref="AR61" si="1057">IF($H60*K61&gt;150000,ROUNDDOWN(($H60*K61-150000)*6%*45%,0),0)</f>
        <v>0</v>
      </c>
      <c r="AS61" s="16">
        <f t="shared" ref="AS61" si="1058">IF($H60*L61&gt;150000,ROUNDDOWN(($H60*L61-150000)*6%*45%,0),0)</f>
        <v>0</v>
      </c>
      <c r="AT61" s="16">
        <f t="shared" ref="AT61" si="1059">IF($H60*M61&gt;150000,ROUNDDOWN(($H60*M61-150000)*6%*45%,0),0)</f>
        <v>0</v>
      </c>
      <c r="AU61" s="16">
        <f t="shared" ref="AU61" si="1060">IF($H60*N61&gt;150000,ROUNDDOWN(($H60*N61-150000)*6%*45%,0),0)</f>
        <v>0</v>
      </c>
      <c r="AV61" s="16">
        <f t="shared" ref="AV61" si="1061">IF($H60*O61&gt;150000,ROUNDDOWN(($H60*O61-150000)*6%*45%,0),0)</f>
        <v>0</v>
      </c>
      <c r="AW61" s="16">
        <f t="shared" ref="AW61" si="1062">IF($H60*P61&gt;150000,ROUNDDOWN(($H60*P61-150000)*6%*45%,0),0)</f>
        <v>0</v>
      </c>
      <c r="AX61" s="16">
        <f t="shared" ref="AX61" si="1063">IF($H60*Q61&gt;150000,ROUNDDOWN(($H60*Q61-150000)*6%*45%,0),0)</f>
        <v>0</v>
      </c>
      <c r="AY61" s="16">
        <f t="shared" ref="AY61" si="1064">IF($H60*R61&gt;150000,ROUNDDOWN(($H60*R61-150000)*6%*45%,0),0)</f>
        <v>0</v>
      </c>
      <c r="AZ61" s="16">
        <f t="shared" ref="AZ61" si="1065">IF($H60*S61&gt;150000,ROUNDDOWN(($H60*S61-150000)*6%*45%,0),0)</f>
        <v>0</v>
      </c>
      <c r="BA61" s="16">
        <f t="shared" ref="BA61" si="1066">IF($H60*T61&gt;150000,ROUNDDOWN(($H60*T61-150000)*6%*45%,0),0)</f>
        <v>0</v>
      </c>
      <c r="BB61" s="16">
        <f t="shared" ref="BB61" si="1067">IF($H60*U61&gt;150000,ROUNDDOWN(($H60*U61-150000)*6%*45%,0),0)</f>
        <v>0</v>
      </c>
      <c r="BC61" s="16">
        <f t="shared" ref="BC61" si="1068">IF($H60*V61&gt;150000,ROUNDDOWN(($H60*V61-150000)*6%*45%,0),0)</f>
        <v>0</v>
      </c>
      <c r="BD61" s="16">
        <f t="shared" ref="BD61" si="1069">IF($H60*W61&gt;150000,ROUNDDOWN(($H60*W61-150000)*6%*45%,0),0)</f>
        <v>0</v>
      </c>
      <c r="BE61" s="17">
        <f t="shared" ref="BE61" si="1070">IF($H60*X61&gt;150000,ROUNDDOWN(($H60*X61-150000)*6%*45%,0),0)</f>
        <v>0</v>
      </c>
      <c r="BF61" s="28"/>
    </row>
    <row r="62" spans="1:58" x14ac:dyDescent="0.3">
      <c r="A62" s="142">
        <v>28</v>
      </c>
      <c r="B62" s="116" t="str">
        <f t="shared" ref="B62" si="1071">IF(LEN(D62)&gt;1,IF(VALUE(MID(RIGHT(D62,7),1,1))&gt;4,"외국인",IF(VALUE(RIGHT(11-MOD((MID(D62,1,1)*2+MID(D62,2,1)*3+MID(D62,3,1)*4+MID(D62,4,1)*5+MID(D62,5,1)*6+MID(D62,6,1)*7+MID(RIGHT(D62,7),1,1)*8+MID(RIGHT(D62,7),2,1)*9+MID(RIGHT(D62,7),3,1)*2+MID(RIGHT(D62,7),4,1)*3+MID(RIGHT(D62,7),5,1)*4+MID(RIGHT(D62,7),6,1)*5),11),1))=VALUE(RIGHT(D62,1)),"","오류")),"")</f>
        <v/>
      </c>
      <c r="C62" s="116"/>
      <c r="D62" s="143"/>
      <c r="E62" s="116"/>
      <c r="F62" s="116"/>
      <c r="G62" s="144"/>
      <c r="H62" s="112"/>
      <c r="I62" s="38"/>
      <c r="J62" s="39"/>
      <c r="K62" s="39"/>
      <c r="L62" s="39"/>
      <c r="M62" s="39"/>
      <c r="N62" s="39"/>
      <c r="O62" s="39"/>
      <c r="P62" s="39"/>
      <c r="Q62" s="39"/>
      <c r="R62" s="39"/>
      <c r="S62" s="40"/>
      <c r="T62" s="40"/>
      <c r="U62" s="39"/>
      <c r="V62" s="39"/>
      <c r="W62" s="41"/>
      <c r="X62" s="42"/>
      <c r="Y62" s="145">
        <f>SUM(I62:X63)</f>
        <v>0</v>
      </c>
      <c r="Z62" s="116">
        <f>COUNTIF(I62:X63,"&gt;0")</f>
        <v>0</v>
      </c>
      <c r="AA62" s="112">
        <f t="shared" ref="AA62" si="1072">H62*Y62</f>
        <v>0</v>
      </c>
      <c r="AB62" s="62">
        <f t="shared" ref="AB62" si="1073">IF(AO62&lt;1000, 0, AO62)</f>
        <v>0</v>
      </c>
      <c r="AC62" s="63">
        <f ca="1">IF(IFERROR($AN62&lt;65,FALSE), IF(B62&lt;&gt;"외국인", ROUNDDOWN(AA62*$AH$1%,-1), IF(AND(AM62&lt;&gt;"", ISNUMBER(SEARCH(LEFT(SUBSTITUTE(AM62, "-",""),2), "F2_F5_F6"))), ROUNDDOWN(AA62*$AH$1%,-1), 0)),0)</f>
        <v>0</v>
      </c>
      <c r="AD62" s="64">
        <f t="shared" ref="AD62" si="1074">IF(Z62&gt;=$AJ$1,ROUNDDOWN(AA62*$AH$2%,-1),0)</f>
        <v>0</v>
      </c>
      <c r="AE62" s="112">
        <f t="shared" ref="AE62" ca="1" si="1075">AB62+AC62+AB63+AC63+AD62+AD63</f>
        <v>0</v>
      </c>
      <c r="AF62" s="112">
        <f t="shared" ref="AF62" ca="1" si="1076">AA62-AE62</f>
        <v>0</v>
      </c>
      <c r="AG62" s="116"/>
      <c r="AH62" s="116"/>
      <c r="AI62" s="116"/>
      <c r="AJ62" s="116"/>
      <c r="AK62" s="149"/>
      <c r="AL62" s="149"/>
      <c r="AM62" s="115"/>
      <c r="AN62" s="113" t="str">
        <f t="shared" ref="AN62" ca="1" si="1077">IFERROR(DATEDIF(DATE(IF(ISNUMBER(FIND(MID( SUBSTITUTE(D62, "-",""), 7, 1), "3478")), 2000, 1900)+MID(D62,1,2), MID(D62,3,2), MID(D62,5,2)), TODAY(), "Y"),"")</f>
        <v/>
      </c>
      <c r="AO62" s="112">
        <f>ROUNDDOWN(SUM(AP62:BE63),-1)</f>
        <v>0</v>
      </c>
      <c r="AP62" s="11">
        <f t="shared" ref="AP62" si="1078">IF($H62*I62&gt;150000,ROUNDDOWN(($H62*I62-150000)*6%*45%,0),0)</f>
        <v>0</v>
      </c>
      <c r="AQ62" s="12">
        <f t="shared" ref="AQ62" si="1079">IF($H62*J62&gt;150000,ROUNDDOWN(($H62*J62-150000)*6%*45%,0),0)</f>
        <v>0</v>
      </c>
      <c r="AR62" s="12">
        <f t="shared" ref="AR62" si="1080">IF($H62*K62&gt;150000,ROUNDDOWN(($H62*K62-150000)*6%*45%,0),0)</f>
        <v>0</v>
      </c>
      <c r="AS62" s="12">
        <f t="shared" ref="AS62" si="1081">IF($H62*L62&gt;150000,ROUNDDOWN(($H62*L62-150000)*6%*45%,0),0)</f>
        <v>0</v>
      </c>
      <c r="AT62" s="12">
        <f t="shared" ref="AT62" si="1082">IF($H62*M62&gt;150000,ROUNDDOWN(($H62*M62-150000)*6%*45%,0),0)</f>
        <v>0</v>
      </c>
      <c r="AU62" s="12">
        <f t="shared" ref="AU62" si="1083">IF($H62*N62&gt;150000,ROUNDDOWN(($H62*N62-150000)*6%*45%,0),0)</f>
        <v>0</v>
      </c>
      <c r="AV62" s="12">
        <f t="shared" ref="AV62" si="1084">IF($H62*O62&gt;150000,ROUNDDOWN(($H62*O62-150000)*6%*45%,0),0)</f>
        <v>0</v>
      </c>
      <c r="AW62" s="12">
        <f t="shared" ref="AW62" si="1085">IF($H62*P62&gt;150000,ROUNDDOWN(($H62*P62-150000)*6%*45%,0),0)</f>
        <v>0</v>
      </c>
      <c r="AX62" s="12">
        <f t="shared" ref="AX62" si="1086">IF($H62*Q62&gt;150000,ROUNDDOWN(($H62*Q62-150000)*6%*45%,0),0)</f>
        <v>0</v>
      </c>
      <c r="AY62" s="12">
        <f t="shared" ref="AY62" si="1087">IF($H62*R62&gt;150000,ROUNDDOWN(($H62*R62-150000)*6%*45%,0),0)</f>
        <v>0</v>
      </c>
      <c r="AZ62" s="12">
        <f t="shared" ref="AZ62" si="1088">IF($H62*S62&gt;150000,ROUNDDOWN(($H62*S62-150000)*6%*45%,0),0)</f>
        <v>0</v>
      </c>
      <c r="BA62" s="12">
        <f t="shared" ref="BA62" si="1089">IF($H62*T62&gt;150000,ROUNDDOWN(($H62*T62-150000)*6%*45%,0),0)</f>
        <v>0</v>
      </c>
      <c r="BB62" s="12">
        <f t="shared" ref="BB62" si="1090">IF($H62*U62&gt;150000,ROUNDDOWN(($H62*U62-150000)*6%*45%,0),0)</f>
        <v>0</v>
      </c>
      <c r="BC62" s="12">
        <f t="shared" ref="BC62" si="1091">IF($H62*V62&gt;150000,ROUNDDOWN(($H62*V62-150000)*6%*45%,0),0)</f>
        <v>0</v>
      </c>
      <c r="BD62" s="13">
        <f t="shared" ref="BD62" si="1092">IF($H62*W62&gt;150000,ROUNDDOWN(($H62*W62-150000)*6%*45%,0),0)</f>
        <v>0</v>
      </c>
      <c r="BE62" s="14"/>
    </row>
    <row r="63" spans="1:58" x14ac:dyDescent="0.3">
      <c r="A63" s="142"/>
      <c r="B63" s="116"/>
      <c r="C63" s="116"/>
      <c r="D63" s="143"/>
      <c r="E63" s="116"/>
      <c r="F63" s="116"/>
      <c r="G63" s="144"/>
      <c r="H63" s="112"/>
      <c r="I63" s="43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5"/>
      <c r="Y63" s="145"/>
      <c r="Z63" s="116"/>
      <c r="AA63" s="112"/>
      <c r="AB63" s="65">
        <f t="shared" ref="AB63" si="1093">ROUNDDOWN(AB62*10%,-1)</f>
        <v>0</v>
      </c>
      <c r="AC63" s="66">
        <f t="shared" ref="AC63" ca="1" si="1094">IFERROR(IF(AND( OR(COUNTIF(I62:X63, "&gt;0")&gt;=$AJ$1, AA62&gt;=$AJ$4),AN62&lt;60,AA62&lt;=$AH$5),ROUNDDOWN(ROUNDDOWN(AA62,-3)*$AH$4%,-1),IF(AND(COUNTIF(I62:X63,"&gt;0")&gt;=$AJ$1,AN62&lt;60,AA62&gt;$AH$5),$AJ$5,0)),0)</f>
        <v>0</v>
      </c>
      <c r="AD63" s="67">
        <f t="shared" ref="AD63" si="1095">IF(Z62&gt;=$AJ$1,ROUNDDOWN(AD62*$AH$3%/($AH$2*2%),-1),0)</f>
        <v>0</v>
      </c>
      <c r="AE63" s="112"/>
      <c r="AF63" s="112"/>
      <c r="AG63" s="116"/>
      <c r="AH63" s="116"/>
      <c r="AI63" s="116"/>
      <c r="AJ63" s="116"/>
      <c r="AK63" s="149"/>
      <c r="AL63" s="149"/>
      <c r="AM63" s="115"/>
      <c r="AN63" s="113"/>
      <c r="AO63" s="112"/>
      <c r="AP63" s="15">
        <f t="shared" ref="AP63" si="1096">IF($H62*I63&gt;150000,ROUNDDOWN(($H62*I63-150000)*6%*45%,0),0)</f>
        <v>0</v>
      </c>
      <c r="AQ63" s="16">
        <f t="shared" ref="AQ63" si="1097">IF($H62*J63&gt;150000,ROUNDDOWN(($H62*J63-150000)*6%*45%,0),0)</f>
        <v>0</v>
      </c>
      <c r="AR63" s="16">
        <f t="shared" ref="AR63" si="1098">IF($H62*K63&gt;150000,ROUNDDOWN(($H62*K63-150000)*6%*45%,0),0)</f>
        <v>0</v>
      </c>
      <c r="AS63" s="16">
        <f t="shared" ref="AS63" si="1099">IF($H62*L63&gt;150000,ROUNDDOWN(($H62*L63-150000)*6%*45%,0),0)</f>
        <v>0</v>
      </c>
      <c r="AT63" s="16">
        <f t="shared" ref="AT63" si="1100">IF($H62*M63&gt;150000,ROUNDDOWN(($H62*M63-150000)*6%*45%,0),0)</f>
        <v>0</v>
      </c>
      <c r="AU63" s="16">
        <f t="shared" ref="AU63" si="1101">IF($H62*N63&gt;150000,ROUNDDOWN(($H62*N63-150000)*6%*45%,0),0)</f>
        <v>0</v>
      </c>
      <c r="AV63" s="16">
        <f t="shared" ref="AV63" si="1102">IF($H62*O63&gt;150000,ROUNDDOWN(($H62*O63-150000)*6%*45%,0),0)</f>
        <v>0</v>
      </c>
      <c r="AW63" s="16">
        <f t="shared" ref="AW63" si="1103">IF($H62*P63&gt;150000,ROUNDDOWN(($H62*P63-150000)*6%*45%,0),0)</f>
        <v>0</v>
      </c>
      <c r="AX63" s="16">
        <f t="shared" ref="AX63" si="1104">IF($H62*Q63&gt;150000,ROUNDDOWN(($H62*Q63-150000)*6%*45%,0),0)</f>
        <v>0</v>
      </c>
      <c r="AY63" s="16">
        <f t="shared" ref="AY63" si="1105">IF($H62*R63&gt;150000,ROUNDDOWN(($H62*R63-150000)*6%*45%,0),0)</f>
        <v>0</v>
      </c>
      <c r="AZ63" s="16">
        <f t="shared" ref="AZ63" si="1106">IF($H62*S63&gt;150000,ROUNDDOWN(($H62*S63-150000)*6%*45%,0),0)</f>
        <v>0</v>
      </c>
      <c r="BA63" s="16">
        <f t="shared" ref="BA63" si="1107">IF($H62*T63&gt;150000,ROUNDDOWN(($H62*T63-150000)*6%*45%,0),0)</f>
        <v>0</v>
      </c>
      <c r="BB63" s="16">
        <f t="shared" ref="BB63" si="1108">IF($H62*U63&gt;150000,ROUNDDOWN(($H62*U63-150000)*6%*45%,0),0)</f>
        <v>0</v>
      </c>
      <c r="BC63" s="16">
        <f t="shared" ref="BC63" si="1109">IF($H62*V63&gt;150000,ROUNDDOWN(($H62*V63-150000)*6%*45%,0),0)</f>
        <v>0</v>
      </c>
      <c r="BD63" s="16">
        <f t="shared" ref="BD63" si="1110">IF($H62*W63&gt;150000,ROUNDDOWN(($H62*W63-150000)*6%*45%,0),0)</f>
        <v>0</v>
      </c>
      <c r="BE63" s="17">
        <f t="shared" ref="BE63" si="1111">IF($H62*X63&gt;150000,ROUNDDOWN(($H62*X63-150000)*6%*45%,0),0)</f>
        <v>0</v>
      </c>
      <c r="BF63" s="28"/>
    </row>
    <row r="64" spans="1:58" x14ac:dyDescent="0.3">
      <c r="A64" s="142">
        <v>29</v>
      </c>
      <c r="B64" s="116" t="str">
        <f t="shared" ref="B64" si="1112">IF(LEN(D64)&gt;1,IF(VALUE(MID(RIGHT(D64,7),1,1))&gt;4,"외국인",IF(VALUE(RIGHT(11-MOD((MID(D64,1,1)*2+MID(D64,2,1)*3+MID(D64,3,1)*4+MID(D64,4,1)*5+MID(D64,5,1)*6+MID(D64,6,1)*7+MID(RIGHT(D64,7),1,1)*8+MID(RIGHT(D64,7),2,1)*9+MID(RIGHT(D64,7),3,1)*2+MID(RIGHT(D64,7),4,1)*3+MID(RIGHT(D64,7),5,1)*4+MID(RIGHT(D64,7),6,1)*5),11),1))=VALUE(RIGHT(D64,1)),"","오류")),"")</f>
        <v/>
      </c>
      <c r="C64" s="116"/>
      <c r="D64" s="143"/>
      <c r="E64" s="116"/>
      <c r="F64" s="116"/>
      <c r="G64" s="144"/>
      <c r="H64" s="112"/>
      <c r="I64" s="38"/>
      <c r="J64" s="39"/>
      <c r="K64" s="39"/>
      <c r="L64" s="39"/>
      <c r="M64" s="39"/>
      <c r="N64" s="39"/>
      <c r="O64" s="39"/>
      <c r="P64" s="39"/>
      <c r="Q64" s="39"/>
      <c r="R64" s="39"/>
      <c r="S64" s="40"/>
      <c r="T64" s="40"/>
      <c r="U64" s="39"/>
      <c r="V64" s="39"/>
      <c r="W64" s="41"/>
      <c r="X64" s="42"/>
      <c r="Y64" s="145">
        <f>SUM(I64:X65)</f>
        <v>0</v>
      </c>
      <c r="Z64" s="116">
        <f>COUNTIF(I64:X65,"&gt;0")</f>
        <v>0</v>
      </c>
      <c r="AA64" s="112">
        <f t="shared" ref="AA64" si="1113">H64*Y64</f>
        <v>0</v>
      </c>
      <c r="AB64" s="62">
        <f t="shared" ref="AB64" si="1114">IF(AO64&lt;1000, 0, AO64)</f>
        <v>0</v>
      </c>
      <c r="AC64" s="63">
        <f ca="1">IF(IFERROR($AN64&lt;65,FALSE), IF(B64&lt;&gt;"외국인", ROUNDDOWN(AA64*$AH$1%,-1), IF(AND(AM64&lt;&gt;"", ISNUMBER(SEARCH(LEFT(SUBSTITUTE(AM64, "-",""),2), "F2_F5_F6"))), ROUNDDOWN(AA64*$AH$1%,-1), 0)),0)</f>
        <v>0</v>
      </c>
      <c r="AD64" s="64">
        <f t="shared" ref="AD64" si="1115">IF(Z64&gt;=$AJ$1,ROUNDDOWN(AA64*$AH$2%,-1),0)</f>
        <v>0</v>
      </c>
      <c r="AE64" s="112">
        <f t="shared" ref="AE64" ca="1" si="1116">AB64+AC64+AB65+AC65+AD64+AD65</f>
        <v>0</v>
      </c>
      <c r="AF64" s="112">
        <f t="shared" ref="AF64" ca="1" si="1117">AA64-AE64</f>
        <v>0</v>
      </c>
      <c r="AG64" s="116"/>
      <c r="AH64" s="116"/>
      <c r="AI64" s="116"/>
      <c r="AJ64" s="116"/>
      <c r="AK64" s="149"/>
      <c r="AL64" s="149"/>
      <c r="AM64" s="115"/>
      <c r="AN64" s="113" t="str">
        <f t="shared" ref="AN64" ca="1" si="1118">IFERROR(DATEDIF(DATE(IF(ISNUMBER(FIND(MID( SUBSTITUTE(D64, "-",""), 7, 1), "3478")), 2000, 1900)+MID(D64,1,2), MID(D64,3,2), MID(D64,5,2)), TODAY(), "Y"),"")</f>
        <v/>
      </c>
      <c r="AO64" s="112">
        <f>ROUNDDOWN(SUM(AP64:BE65),-1)</f>
        <v>0</v>
      </c>
      <c r="AP64" s="11">
        <f t="shared" ref="AP64" si="1119">IF($H64*I64&gt;150000,ROUNDDOWN(($H64*I64-150000)*6%*45%,0),0)</f>
        <v>0</v>
      </c>
      <c r="AQ64" s="12">
        <f t="shared" ref="AQ64" si="1120">IF($H64*J64&gt;150000,ROUNDDOWN(($H64*J64-150000)*6%*45%,0),0)</f>
        <v>0</v>
      </c>
      <c r="AR64" s="12">
        <f t="shared" ref="AR64" si="1121">IF($H64*K64&gt;150000,ROUNDDOWN(($H64*K64-150000)*6%*45%,0),0)</f>
        <v>0</v>
      </c>
      <c r="AS64" s="12">
        <f t="shared" ref="AS64" si="1122">IF($H64*L64&gt;150000,ROUNDDOWN(($H64*L64-150000)*6%*45%,0),0)</f>
        <v>0</v>
      </c>
      <c r="AT64" s="12">
        <f t="shared" ref="AT64" si="1123">IF($H64*M64&gt;150000,ROUNDDOWN(($H64*M64-150000)*6%*45%,0),0)</f>
        <v>0</v>
      </c>
      <c r="AU64" s="12">
        <f t="shared" ref="AU64" si="1124">IF($H64*N64&gt;150000,ROUNDDOWN(($H64*N64-150000)*6%*45%,0),0)</f>
        <v>0</v>
      </c>
      <c r="AV64" s="12">
        <f t="shared" ref="AV64" si="1125">IF($H64*O64&gt;150000,ROUNDDOWN(($H64*O64-150000)*6%*45%,0),0)</f>
        <v>0</v>
      </c>
      <c r="AW64" s="12">
        <f t="shared" ref="AW64" si="1126">IF($H64*P64&gt;150000,ROUNDDOWN(($H64*P64-150000)*6%*45%,0),0)</f>
        <v>0</v>
      </c>
      <c r="AX64" s="12">
        <f t="shared" ref="AX64" si="1127">IF($H64*Q64&gt;150000,ROUNDDOWN(($H64*Q64-150000)*6%*45%,0),0)</f>
        <v>0</v>
      </c>
      <c r="AY64" s="12">
        <f t="shared" ref="AY64" si="1128">IF($H64*R64&gt;150000,ROUNDDOWN(($H64*R64-150000)*6%*45%,0),0)</f>
        <v>0</v>
      </c>
      <c r="AZ64" s="12">
        <f t="shared" ref="AZ64" si="1129">IF($H64*S64&gt;150000,ROUNDDOWN(($H64*S64-150000)*6%*45%,0),0)</f>
        <v>0</v>
      </c>
      <c r="BA64" s="12">
        <f t="shared" ref="BA64" si="1130">IF($H64*T64&gt;150000,ROUNDDOWN(($H64*T64-150000)*6%*45%,0),0)</f>
        <v>0</v>
      </c>
      <c r="BB64" s="12">
        <f t="shared" ref="BB64" si="1131">IF($H64*U64&gt;150000,ROUNDDOWN(($H64*U64-150000)*6%*45%,0),0)</f>
        <v>0</v>
      </c>
      <c r="BC64" s="12">
        <f t="shared" ref="BC64" si="1132">IF($H64*V64&gt;150000,ROUNDDOWN(($H64*V64-150000)*6%*45%,0),0)</f>
        <v>0</v>
      </c>
      <c r="BD64" s="13">
        <f t="shared" ref="BD64" si="1133">IF($H64*W64&gt;150000,ROUNDDOWN(($H64*W64-150000)*6%*45%,0),0)</f>
        <v>0</v>
      </c>
      <c r="BE64" s="14"/>
    </row>
    <row r="65" spans="1:58" x14ac:dyDescent="0.3">
      <c r="A65" s="142"/>
      <c r="B65" s="116"/>
      <c r="C65" s="116"/>
      <c r="D65" s="143"/>
      <c r="E65" s="116"/>
      <c r="F65" s="116"/>
      <c r="G65" s="144"/>
      <c r="H65" s="112"/>
      <c r="I65" s="43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5"/>
      <c r="Y65" s="145"/>
      <c r="Z65" s="116"/>
      <c r="AA65" s="112"/>
      <c r="AB65" s="65">
        <f t="shared" ref="AB65" si="1134">ROUNDDOWN(AB64*10%,-1)</f>
        <v>0</v>
      </c>
      <c r="AC65" s="66">
        <f t="shared" ref="AC65" ca="1" si="1135">IFERROR(IF(AND( OR(COUNTIF(I64:X65, "&gt;0")&gt;=$AJ$1, AA64&gt;=$AJ$4),AN64&lt;60,AA64&lt;=$AH$5),ROUNDDOWN(ROUNDDOWN(AA64,-3)*$AH$4%,-1),IF(AND(COUNTIF(I64:X65,"&gt;0")&gt;=$AJ$1,AN64&lt;60,AA64&gt;$AH$5),$AJ$5,0)),0)</f>
        <v>0</v>
      </c>
      <c r="AD65" s="67">
        <f t="shared" ref="AD65" si="1136">IF(Z64&gt;=$AJ$1,ROUNDDOWN(AD64*$AH$3%/($AH$2*2%),-1),0)</f>
        <v>0</v>
      </c>
      <c r="AE65" s="112"/>
      <c r="AF65" s="112"/>
      <c r="AG65" s="116"/>
      <c r="AH65" s="116"/>
      <c r="AI65" s="116"/>
      <c r="AJ65" s="116"/>
      <c r="AK65" s="149"/>
      <c r="AL65" s="149"/>
      <c r="AM65" s="115"/>
      <c r="AN65" s="113"/>
      <c r="AO65" s="112"/>
      <c r="AP65" s="15">
        <f t="shared" ref="AP65" si="1137">IF($H64*I65&gt;150000,ROUNDDOWN(($H64*I65-150000)*6%*45%,0),0)</f>
        <v>0</v>
      </c>
      <c r="AQ65" s="16">
        <f t="shared" ref="AQ65" si="1138">IF($H64*J65&gt;150000,ROUNDDOWN(($H64*J65-150000)*6%*45%,0),0)</f>
        <v>0</v>
      </c>
      <c r="AR65" s="16">
        <f t="shared" ref="AR65" si="1139">IF($H64*K65&gt;150000,ROUNDDOWN(($H64*K65-150000)*6%*45%,0),0)</f>
        <v>0</v>
      </c>
      <c r="AS65" s="16">
        <f t="shared" ref="AS65" si="1140">IF($H64*L65&gt;150000,ROUNDDOWN(($H64*L65-150000)*6%*45%,0),0)</f>
        <v>0</v>
      </c>
      <c r="AT65" s="16">
        <f t="shared" ref="AT65" si="1141">IF($H64*M65&gt;150000,ROUNDDOWN(($H64*M65-150000)*6%*45%,0),0)</f>
        <v>0</v>
      </c>
      <c r="AU65" s="16">
        <f t="shared" ref="AU65" si="1142">IF($H64*N65&gt;150000,ROUNDDOWN(($H64*N65-150000)*6%*45%,0),0)</f>
        <v>0</v>
      </c>
      <c r="AV65" s="16">
        <f t="shared" ref="AV65" si="1143">IF($H64*O65&gt;150000,ROUNDDOWN(($H64*O65-150000)*6%*45%,0),0)</f>
        <v>0</v>
      </c>
      <c r="AW65" s="16">
        <f t="shared" ref="AW65" si="1144">IF($H64*P65&gt;150000,ROUNDDOWN(($H64*P65-150000)*6%*45%,0),0)</f>
        <v>0</v>
      </c>
      <c r="AX65" s="16">
        <f t="shared" ref="AX65" si="1145">IF($H64*Q65&gt;150000,ROUNDDOWN(($H64*Q65-150000)*6%*45%,0),0)</f>
        <v>0</v>
      </c>
      <c r="AY65" s="16">
        <f t="shared" ref="AY65" si="1146">IF($H64*R65&gt;150000,ROUNDDOWN(($H64*R65-150000)*6%*45%,0),0)</f>
        <v>0</v>
      </c>
      <c r="AZ65" s="16">
        <f t="shared" ref="AZ65" si="1147">IF($H64*S65&gt;150000,ROUNDDOWN(($H64*S65-150000)*6%*45%,0),0)</f>
        <v>0</v>
      </c>
      <c r="BA65" s="16">
        <f t="shared" ref="BA65" si="1148">IF($H64*T65&gt;150000,ROUNDDOWN(($H64*T65-150000)*6%*45%,0),0)</f>
        <v>0</v>
      </c>
      <c r="BB65" s="16">
        <f t="shared" ref="BB65" si="1149">IF($H64*U65&gt;150000,ROUNDDOWN(($H64*U65-150000)*6%*45%,0),0)</f>
        <v>0</v>
      </c>
      <c r="BC65" s="16">
        <f t="shared" ref="BC65" si="1150">IF($H64*V65&gt;150000,ROUNDDOWN(($H64*V65-150000)*6%*45%,0),0)</f>
        <v>0</v>
      </c>
      <c r="BD65" s="16">
        <f t="shared" ref="BD65" si="1151">IF($H64*W65&gt;150000,ROUNDDOWN(($H64*W65-150000)*6%*45%,0),0)</f>
        <v>0</v>
      </c>
      <c r="BE65" s="17">
        <f t="shared" ref="BE65" si="1152">IF($H64*X65&gt;150000,ROUNDDOWN(($H64*X65-150000)*6%*45%,0),0)</f>
        <v>0</v>
      </c>
      <c r="BF65" s="28"/>
    </row>
    <row r="66" spans="1:58" x14ac:dyDescent="0.3">
      <c r="A66" s="142">
        <v>30</v>
      </c>
      <c r="B66" s="116" t="str">
        <f t="shared" ref="B66" si="1153">IF(LEN(D66)&gt;1,IF(VALUE(MID(RIGHT(D66,7),1,1))&gt;4,"외국인",IF(VALUE(RIGHT(11-MOD((MID(D66,1,1)*2+MID(D66,2,1)*3+MID(D66,3,1)*4+MID(D66,4,1)*5+MID(D66,5,1)*6+MID(D66,6,1)*7+MID(RIGHT(D66,7),1,1)*8+MID(RIGHT(D66,7),2,1)*9+MID(RIGHT(D66,7),3,1)*2+MID(RIGHT(D66,7),4,1)*3+MID(RIGHT(D66,7),5,1)*4+MID(RIGHT(D66,7),6,1)*5),11),1))=VALUE(RIGHT(D66,1)),"","오류")),"")</f>
        <v/>
      </c>
      <c r="C66" s="116"/>
      <c r="D66" s="143"/>
      <c r="E66" s="116"/>
      <c r="F66" s="116"/>
      <c r="G66" s="144"/>
      <c r="H66" s="112"/>
      <c r="I66" s="38"/>
      <c r="J66" s="39"/>
      <c r="K66" s="39"/>
      <c r="L66" s="39"/>
      <c r="M66" s="39"/>
      <c r="N66" s="39"/>
      <c r="O66" s="39"/>
      <c r="P66" s="39"/>
      <c r="Q66" s="39"/>
      <c r="R66" s="39"/>
      <c r="S66" s="40"/>
      <c r="T66" s="40"/>
      <c r="U66" s="39"/>
      <c r="V66" s="39"/>
      <c r="W66" s="41"/>
      <c r="X66" s="42"/>
      <c r="Y66" s="145">
        <f>SUM(I66:X67)</f>
        <v>0</v>
      </c>
      <c r="Z66" s="116">
        <f>COUNTIF(I66:X67,"&gt;0")</f>
        <v>0</v>
      </c>
      <c r="AA66" s="112">
        <f t="shared" ref="AA66" si="1154">H66*Y66</f>
        <v>0</v>
      </c>
      <c r="AB66" s="62">
        <f t="shared" ref="AB66" si="1155">IF(AO66&lt;1000, 0, AO66)</f>
        <v>0</v>
      </c>
      <c r="AC66" s="63">
        <f ca="1">IF(IFERROR($AN66&lt;65,FALSE), IF(B66&lt;&gt;"외국인", ROUNDDOWN(AA66*$AH$1%,-1), IF(AND(AM66&lt;&gt;"", ISNUMBER(SEARCH(LEFT(SUBSTITUTE(AM66, "-",""),2), "F2_F5_F6"))), ROUNDDOWN(AA66*$AH$1%,-1), 0)),0)</f>
        <v>0</v>
      </c>
      <c r="AD66" s="64">
        <f t="shared" ref="AD66" si="1156">IF(Z66&gt;=$AJ$1,ROUNDDOWN(AA66*$AH$2%,-1),0)</f>
        <v>0</v>
      </c>
      <c r="AE66" s="112">
        <f t="shared" ref="AE66" ca="1" si="1157">AB66+AC66+AB67+AC67+AD66+AD67</f>
        <v>0</v>
      </c>
      <c r="AF66" s="112">
        <f t="shared" ref="AF66" ca="1" si="1158">AA66-AE66</f>
        <v>0</v>
      </c>
      <c r="AG66" s="116"/>
      <c r="AH66" s="116"/>
      <c r="AI66" s="116"/>
      <c r="AJ66" s="116"/>
      <c r="AK66" s="149"/>
      <c r="AL66" s="149"/>
      <c r="AM66" s="115"/>
      <c r="AN66" s="113" t="str">
        <f t="shared" ref="AN66" ca="1" si="1159">IFERROR(DATEDIF(DATE(IF(ISNUMBER(FIND(MID( SUBSTITUTE(D66, "-",""), 7, 1), "3478")), 2000, 1900)+MID(D66,1,2), MID(D66,3,2), MID(D66,5,2)), TODAY(), "Y"),"")</f>
        <v/>
      </c>
      <c r="AO66" s="112">
        <f>ROUNDDOWN(SUM(AP66:BE67),-1)</f>
        <v>0</v>
      </c>
      <c r="AP66" s="11">
        <f t="shared" ref="AP66" si="1160">IF($H66*I66&gt;150000,ROUNDDOWN(($H66*I66-150000)*6%*45%,0),0)</f>
        <v>0</v>
      </c>
      <c r="AQ66" s="12">
        <f t="shared" ref="AQ66" si="1161">IF($H66*J66&gt;150000,ROUNDDOWN(($H66*J66-150000)*6%*45%,0),0)</f>
        <v>0</v>
      </c>
      <c r="AR66" s="12">
        <f t="shared" ref="AR66" si="1162">IF($H66*K66&gt;150000,ROUNDDOWN(($H66*K66-150000)*6%*45%,0),0)</f>
        <v>0</v>
      </c>
      <c r="AS66" s="12">
        <f t="shared" ref="AS66" si="1163">IF($H66*L66&gt;150000,ROUNDDOWN(($H66*L66-150000)*6%*45%,0),0)</f>
        <v>0</v>
      </c>
      <c r="AT66" s="12">
        <f t="shared" ref="AT66" si="1164">IF($H66*M66&gt;150000,ROUNDDOWN(($H66*M66-150000)*6%*45%,0),0)</f>
        <v>0</v>
      </c>
      <c r="AU66" s="12">
        <f t="shared" ref="AU66" si="1165">IF($H66*N66&gt;150000,ROUNDDOWN(($H66*N66-150000)*6%*45%,0),0)</f>
        <v>0</v>
      </c>
      <c r="AV66" s="12">
        <f t="shared" ref="AV66" si="1166">IF($H66*O66&gt;150000,ROUNDDOWN(($H66*O66-150000)*6%*45%,0),0)</f>
        <v>0</v>
      </c>
      <c r="AW66" s="12">
        <f t="shared" ref="AW66" si="1167">IF($H66*P66&gt;150000,ROUNDDOWN(($H66*P66-150000)*6%*45%,0),0)</f>
        <v>0</v>
      </c>
      <c r="AX66" s="12">
        <f t="shared" ref="AX66" si="1168">IF($H66*Q66&gt;150000,ROUNDDOWN(($H66*Q66-150000)*6%*45%,0),0)</f>
        <v>0</v>
      </c>
      <c r="AY66" s="12">
        <f t="shared" ref="AY66" si="1169">IF($H66*R66&gt;150000,ROUNDDOWN(($H66*R66-150000)*6%*45%,0),0)</f>
        <v>0</v>
      </c>
      <c r="AZ66" s="12">
        <f t="shared" ref="AZ66" si="1170">IF($H66*S66&gt;150000,ROUNDDOWN(($H66*S66-150000)*6%*45%,0),0)</f>
        <v>0</v>
      </c>
      <c r="BA66" s="12">
        <f t="shared" ref="BA66" si="1171">IF($H66*T66&gt;150000,ROUNDDOWN(($H66*T66-150000)*6%*45%,0),0)</f>
        <v>0</v>
      </c>
      <c r="BB66" s="12">
        <f t="shared" ref="BB66" si="1172">IF($H66*U66&gt;150000,ROUNDDOWN(($H66*U66-150000)*6%*45%,0),0)</f>
        <v>0</v>
      </c>
      <c r="BC66" s="12">
        <f t="shared" ref="BC66" si="1173">IF($H66*V66&gt;150000,ROUNDDOWN(($H66*V66-150000)*6%*45%,0),0)</f>
        <v>0</v>
      </c>
      <c r="BD66" s="13">
        <f t="shared" ref="BD66" si="1174">IF($H66*W66&gt;150000,ROUNDDOWN(($H66*W66-150000)*6%*45%,0),0)</f>
        <v>0</v>
      </c>
      <c r="BE66" s="14"/>
    </row>
    <row r="67" spans="1:58" x14ac:dyDescent="0.3">
      <c r="A67" s="142"/>
      <c r="B67" s="116"/>
      <c r="C67" s="116"/>
      <c r="D67" s="143"/>
      <c r="E67" s="116"/>
      <c r="F67" s="116"/>
      <c r="G67" s="144"/>
      <c r="H67" s="112"/>
      <c r="I67" s="43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5"/>
      <c r="Y67" s="145"/>
      <c r="Z67" s="116"/>
      <c r="AA67" s="112"/>
      <c r="AB67" s="65">
        <f t="shared" ref="AB67" si="1175">ROUNDDOWN(AB66*10%,-1)</f>
        <v>0</v>
      </c>
      <c r="AC67" s="66">
        <f t="shared" ref="AC67" ca="1" si="1176">IFERROR(IF(AND( OR(COUNTIF(I66:X67, "&gt;0")&gt;=$AJ$1, AA66&gt;=$AJ$4),AN66&lt;60,AA66&lt;=$AH$5),ROUNDDOWN(ROUNDDOWN(AA66,-3)*$AH$4%,-1),IF(AND(COUNTIF(I66:X67,"&gt;0")&gt;=$AJ$1,AN66&lt;60,AA66&gt;$AH$5),$AJ$5,0)),0)</f>
        <v>0</v>
      </c>
      <c r="AD67" s="67">
        <f t="shared" ref="AD67" si="1177">IF(Z66&gt;=$AJ$1,ROUNDDOWN(AD66*$AH$3%/($AH$2*2%),-1),0)</f>
        <v>0</v>
      </c>
      <c r="AE67" s="112"/>
      <c r="AF67" s="112"/>
      <c r="AG67" s="116"/>
      <c r="AH67" s="116"/>
      <c r="AI67" s="116"/>
      <c r="AJ67" s="116"/>
      <c r="AK67" s="149"/>
      <c r="AL67" s="149"/>
      <c r="AM67" s="115"/>
      <c r="AN67" s="113"/>
      <c r="AO67" s="112"/>
      <c r="AP67" s="15">
        <f t="shared" ref="AP67" si="1178">IF($H66*I67&gt;150000,ROUNDDOWN(($H66*I67-150000)*6%*45%,0),0)</f>
        <v>0</v>
      </c>
      <c r="AQ67" s="16">
        <f t="shared" ref="AQ67" si="1179">IF($H66*J67&gt;150000,ROUNDDOWN(($H66*J67-150000)*6%*45%,0),0)</f>
        <v>0</v>
      </c>
      <c r="AR67" s="16">
        <f t="shared" ref="AR67" si="1180">IF($H66*K67&gt;150000,ROUNDDOWN(($H66*K67-150000)*6%*45%,0),0)</f>
        <v>0</v>
      </c>
      <c r="AS67" s="16">
        <f t="shared" ref="AS67" si="1181">IF($H66*L67&gt;150000,ROUNDDOWN(($H66*L67-150000)*6%*45%,0),0)</f>
        <v>0</v>
      </c>
      <c r="AT67" s="16">
        <f t="shared" ref="AT67" si="1182">IF($H66*M67&gt;150000,ROUNDDOWN(($H66*M67-150000)*6%*45%,0),0)</f>
        <v>0</v>
      </c>
      <c r="AU67" s="16">
        <f t="shared" ref="AU67" si="1183">IF($H66*N67&gt;150000,ROUNDDOWN(($H66*N67-150000)*6%*45%,0),0)</f>
        <v>0</v>
      </c>
      <c r="AV67" s="16">
        <f t="shared" ref="AV67" si="1184">IF($H66*O67&gt;150000,ROUNDDOWN(($H66*O67-150000)*6%*45%,0),0)</f>
        <v>0</v>
      </c>
      <c r="AW67" s="16">
        <f t="shared" ref="AW67" si="1185">IF($H66*P67&gt;150000,ROUNDDOWN(($H66*P67-150000)*6%*45%,0),0)</f>
        <v>0</v>
      </c>
      <c r="AX67" s="16">
        <f t="shared" ref="AX67" si="1186">IF($H66*Q67&gt;150000,ROUNDDOWN(($H66*Q67-150000)*6%*45%,0),0)</f>
        <v>0</v>
      </c>
      <c r="AY67" s="16">
        <f t="shared" ref="AY67" si="1187">IF($H66*R67&gt;150000,ROUNDDOWN(($H66*R67-150000)*6%*45%,0),0)</f>
        <v>0</v>
      </c>
      <c r="AZ67" s="16">
        <f t="shared" ref="AZ67" si="1188">IF($H66*S67&gt;150000,ROUNDDOWN(($H66*S67-150000)*6%*45%,0),0)</f>
        <v>0</v>
      </c>
      <c r="BA67" s="16">
        <f t="shared" ref="BA67" si="1189">IF($H66*T67&gt;150000,ROUNDDOWN(($H66*T67-150000)*6%*45%,0),0)</f>
        <v>0</v>
      </c>
      <c r="BB67" s="16">
        <f t="shared" ref="BB67" si="1190">IF($H66*U67&gt;150000,ROUNDDOWN(($H66*U67-150000)*6%*45%,0),0)</f>
        <v>0</v>
      </c>
      <c r="BC67" s="16">
        <f t="shared" ref="BC67" si="1191">IF($H66*V67&gt;150000,ROUNDDOWN(($H66*V67-150000)*6%*45%,0),0)</f>
        <v>0</v>
      </c>
      <c r="BD67" s="16">
        <f t="shared" ref="BD67" si="1192">IF($H66*W67&gt;150000,ROUNDDOWN(($H66*W67-150000)*6%*45%,0),0)</f>
        <v>0</v>
      </c>
      <c r="BE67" s="17">
        <f t="shared" ref="BE67" si="1193">IF($H66*X67&gt;150000,ROUNDDOWN(($H66*X67-150000)*6%*45%,0),0)</f>
        <v>0</v>
      </c>
      <c r="BF67" s="28"/>
    </row>
    <row r="68" spans="1:58" x14ac:dyDescent="0.3">
      <c r="A68" s="142">
        <v>31</v>
      </c>
      <c r="B68" s="116" t="str">
        <f t="shared" ref="B68" si="1194">IF(LEN(D68)&gt;1,IF(VALUE(MID(RIGHT(D68,7),1,1))&gt;4,"외국인",IF(VALUE(RIGHT(11-MOD((MID(D68,1,1)*2+MID(D68,2,1)*3+MID(D68,3,1)*4+MID(D68,4,1)*5+MID(D68,5,1)*6+MID(D68,6,1)*7+MID(RIGHT(D68,7),1,1)*8+MID(RIGHT(D68,7),2,1)*9+MID(RIGHT(D68,7),3,1)*2+MID(RIGHT(D68,7),4,1)*3+MID(RIGHT(D68,7),5,1)*4+MID(RIGHT(D68,7),6,1)*5),11),1))=VALUE(RIGHT(D68,1)),"","오류")),"")</f>
        <v/>
      </c>
      <c r="C68" s="116"/>
      <c r="D68" s="143"/>
      <c r="E68" s="116"/>
      <c r="F68" s="116"/>
      <c r="G68" s="144"/>
      <c r="H68" s="112"/>
      <c r="I68" s="38"/>
      <c r="J68" s="39"/>
      <c r="K68" s="39"/>
      <c r="L68" s="39"/>
      <c r="M68" s="39"/>
      <c r="N68" s="39"/>
      <c r="O68" s="39"/>
      <c r="P68" s="39"/>
      <c r="Q68" s="39"/>
      <c r="R68" s="39"/>
      <c r="S68" s="40"/>
      <c r="T68" s="40"/>
      <c r="U68" s="39"/>
      <c r="V68" s="39"/>
      <c r="W68" s="41"/>
      <c r="X68" s="42"/>
      <c r="Y68" s="145">
        <f>SUM(I68:X69)</f>
        <v>0</v>
      </c>
      <c r="Z68" s="116">
        <f>COUNTIF(I68:X69,"&gt;0")</f>
        <v>0</v>
      </c>
      <c r="AA68" s="112">
        <f t="shared" ref="AA68" si="1195">H68*Y68</f>
        <v>0</v>
      </c>
      <c r="AB68" s="62">
        <f t="shared" ref="AB68" si="1196">IF(AO68&lt;1000, 0, AO68)</f>
        <v>0</v>
      </c>
      <c r="AC68" s="63">
        <f ca="1">IF(IFERROR($AN68&lt;65,FALSE), IF(B68&lt;&gt;"외국인", ROUNDDOWN(AA68*$AH$1%,-1), IF(AND(AM68&lt;&gt;"", ISNUMBER(SEARCH(LEFT(SUBSTITUTE(AM68, "-",""),2), "F2_F5_F6"))), ROUNDDOWN(AA68*$AH$1%,-1), 0)),0)</f>
        <v>0</v>
      </c>
      <c r="AD68" s="64">
        <f t="shared" ref="AD68" si="1197">IF(Z68&gt;=$AJ$1,ROUNDDOWN(AA68*$AH$2%,-1),0)</f>
        <v>0</v>
      </c>
      <c r="AE68" s="112">
        <f t="shared" ref="AE68" ca="1" si="1198">AB68+AC68+AB69+AC69+AD68+AD69</f>
        <v>0</v>
      </c>
      <c r="AF68" s="112">
        <f t="shared" ref="AF68" ca="1" si="1199">AA68-AE68</f>
        <v>0</v>
      </c>
      <c r="AG68" s="116"/>
      <c r="AH68" s="116"/>
      <c r="AI68" s="116"/>
      <c r="AJ68" s="116"/>
      <c r="AK68" s="149"/>
      <c r="AL68" s="149"/>
      <c r="AM68" s="115"/>
      <c r="AN68" s="113" t="str">
        <f t="shared" ref="AN68" ca="1" si="1200">IFERROR(DATEDIF(DATE(IF(ISNUMBER(FIND(MID( SUBSTITUTE(D68, "-",""), 7, 1), "3478")), 2000, 1900)+MID(D68,1,2), MID(D68,3,2), MID(D68,5,2)), TODAY(), "Y"),"")</f>
        <v/>
      </c>
      <c r="AO68" s="112">
        <f>ROUNDDOWN(SUM(AP68:BE69),-1)</f>
        <v>0</v>
      </c>
      <c r="AP68" s="11">
        <f t="shared" ref="AP68" si="1201">IF($H68*I68&gt;150000,ROUNDDOWN(($H68*I68-150000)*6%*45%,0),0)</f>
        <v>0</v>
      </c>
      <c r="AQ68" s="12">
        <f t="shared" ref="AQ68" si="1202">IF($H68*J68&gt;150000,ROUNDDOWN(($H68*J68-150000)*6%*45%,0),0)</f>
        <v>0</v>
      </c>
      <c r="AR68" s="12">
        <f t="shared" ref="AR68" si="1203">IF($H68*K68&gt;150000,ROUNDDOWN(($H68*K68-150000)*6%*45%,0),0)</f>
        <v>0</v>
      </c>
      <c r="AS68" s="12">
        <f t="shared" ref="AS68" si="1204">IF($H68*L68&gt;150000,ROUNDDOWN(($H68*L68-150000)*6%*45%,0),0)</f>
        <v>0</v>
      </c>
      <c r="AT68" s="12">
        <f t="shared" ref="AT68" si="1205">IF($H68*M68&gt;150000,ROUNDDOWN(($H68*M68-150000)*6%*45%,0),0)</f>
        <v>0</v>
      </c>
      <c r="AU68" s="12">
        <f t="shared" ref="AU68" si="1206">IF($H68*N68&gt;150000,ROUNDDOWN(($H68*N68-150000)*6%*45%,0),0)</f>
        <v>0</v>
      </c>
      <c r="AV68" s="12">
        <f t="shared" ref="AV68" si="1207">IF($H68*O68&gt;150000,ROUNDDOWN(($H68*O68-150000)*6%*45%,0),0)</f>
        <v>0</v>
      </c>
      <c r="AW68" s="12">
        <f t="shared" ref="AW68" si="1208">IF($H68*P68&gt;150000,ROUNDDOWN(($H68*P68-150000)*6%*45%,0),0)</f>
        <v>0</v>
      </c>
      <c r="AX68" s="12">
        <f t="shared" ref="AX68" si="1209">IF($H68*Q68&gt;150000,ROUNDDOWN(($H68*Q68-150000)*6%*45%,0),0)</f>
        <v>0</v>
      </c>
      <c r="AY68" s="12">
        <f t="shared" ref="AY68" si="1210">IF($H68*R68&gt;150000,ROUNDDOWN(($H68*R68-150000)*6%*45%,0),0)</f>
        <v>0</v>
      </c>
      <c r="AZ68" s="12">
        <f t="shared" ref="AZ68" si="1211">IF($H68*S68&gt;150000,ROUNDDOWN(($H68*S68-150000)*6%*45%,0),0)</f>
        <v>0</v>
      </c>
      <c r="BA68" s="12">
        <f t="shared" ref="BA68" si="1212">IF($H68*T68&gt;150000,ROUNDDOWN(($H68*T68-150000)*6%*45%,0),0)</f>
        <v>0</v>
      </c>
      <c r="BB68" s="12">
        <f t="shared" ref="BB68" si="1213">IF($H68*U68&gt;150000,ROUNDDOWN(($H68*U68-150000)*6%*45%,0),0)</f>
        <v>0</v>
      </c>
      <c r="BC68" s="12">
        <f t="shared" ref="BC68" si="1214">IF($H68*V68&gt;150000,ROUNDDOWN(($H68*V68-150000)*6%*45%,0),0)</f>
        <v>0</v>
      </c>
      <c r="BD68" s="13">
        <f t="shared" ref="BD68" si="1215">IF($H68*W68&gt;150000,ROUNDDOWN(($H68*W68-150000)*6%*45%,0),0)</f>
        <v>0</v>
      </c>
      <c r="BE68" s="14"/>
    </row>
    <row r="69" spans="1:58" x14ac:dyDescent="0.3">
      <c r="A69" s="142"/>
      <c r="B69" s="116"/>
      <c r="C69" s="116"/>
      <c r="D69" s="143"/>
      <c r="E69" s="116"/>
      <c r="F69" s="116"/>
      <c r="G69" s="144"/>
      <c r="H69" s="112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5"/>
      <c r="Y69" s="145"/>
      <c r="Z69" s="116"/>
      <c r="AA69" s="112"/>
      <c r="AB69" s="65">
        <f t="shared" ref="AB69" si="1216">ROUNDDOWN(AB68*10%,-1)</f>
        <v>0</v>
      </c>
      <c r="AC69" s="66">
        <f t="shared" ref="AC69" ca="1" si="1217">IFERROR(IF(AND( OR(COUNTIF(I68:X69, "&gt;0")&gt;=$AJ$1, AA68&gt;=$AJ$4),AN68&lt;60,AA68&lt;=$AH$5),ROUNDDOWN(ROUNDDOWN(AA68,-3)*$AH$4%,-1),IF(AND(COUNTIF(I68:X69,"&gt;0")&gt;=$AJ$1,AN68&lt;60,AA68&gt;$AH$5),$AJ$5,0)),0)</f>
        <v>0</v>
      </c>
      <c r="AD69" s="67">
        <f t="shared" ref="AD69" si="1218">IF(Z68&gt;=$AJ$1,ROUNDDOWN(AD68*$AH$3%/($AH$2*2%),-1),0)</f>
        <v>0</v>
      </c>
      <c r="AE69" s="112"/>
      <c r="AF69" s="112"/>
      <c r="AG69" s="116"/>
      <c r="AH69" s="116"/>
      <c r="AI69" s="116"/>
      <c r="AJ69" s="116"/>
      <c r="AK69" s="149"/>
      <c r="AL69" s="149"/>
      <c r="AM69" s="115"/>
      <c r="AN69" s="113"/>
      <c r="AO69" s="112"/>
      <c r="AP69" s="15">
        <f t="shared" ref="AP69" si="1219">IF($H68*I69&gt;150000,ROUNDDOWN(($H68*I69-150000)*6%*45%,0),0)</f>
        <v>0</v>
      </c>
      <c r="AQ69" s="16">
        <f t="shared" ref="AQ69" si="1220">IF($H68*J69&gt;150000,ROUNDDOWN(($H68*J69-150000)*6%*45%,0),0)</f>
        <v>0</v>
      </c>
      <c r="AR69" s="16">
        <f t="shared" ref="AR69" si="1221">IF($H68*K69&gt;150000,ROUNDDOWN(($H68*K69-150000)*6%*45%,0),0)</f>
        <v>0</v>
      </c>
      <c r="AS69" s="16">
        <f t="shared" ref="AS69" si="1222">IF($H68*L69&gt;150000,ROUNDDOWN(($H68*L69-150000)*6%*45%,0),0)</f>
        <v>0</v>
      </c>
      <c r="AT69" s="16">
        <f t="shared" ref="AT69" si="1223">IF($H68*M69&gt;150000,ROUNDDOWN(($H68*M69-150000)*6%*45%,0),0)</f>
        <v>0</v>
      </c>
      <c r="AU69" s="16">
        <f t="shared" ref="AU69" si="1224">IF($H68*N69&gt;150000,ROUNDDOWN(($H68*N69-150000)*6%*45%,0),0)</f>
        <v>0</v>
      </c>
      <c r="AV69" s="16">
        <f t="shared" ref="AV69" si="1225">IF($H68*O69&gt;150000,ROUNDDOWN(($H68*O69-150000)*6%*45%,0),0)</f>
        <v>0</v>
      </c>
      <c r="AW69" s="16">
        <f t="shared" ref="AW69" si="1226">IF($H68*P69&gt;150000,ROUNDDOWN(($H68*P69-150000)*6%*45%,0),0)</f>
        <v>0</v>
      </c>
      <c r="AX69" s="16">
        <f t="shared" ref="AX69" si="1227">IF($H68*Q69&gt;150000,ROUNDDOWN(($H68*Q69-150000)*6%*45%,0),0)</f>
        <v>0</v>
      </c>
      <c r="AY69" s="16">
        <f t="shared" ref="AY69" si="1228">IF($H68*R69&gt;150000,ROUNDDOWN(($H68*R69-150000)*6%*45%,0),0)</f>
        <v>0</v>
      </c>
      <c r="AZ69" s="16">
        <f t="shared" ref="AZ69" si="1229">IF($H68*S69&gt;150000,ROUNDDOWN(($H68*S69-150000)*6%*45%,0),0)</f>
        <v>0</v>
      </c>
      <c r="BA69" s="16">
        <f t="shared" ref="BA69" si="1230">IF($H68*T69&gt;150000,ROUNDDOWN(($H68*T69-150000)*6%*45%,0),0)</f>
        <v>0</v>
      </c>
      <c r="BB69" s="16">
        <f t="shared" ref="BB69" si="1231">IF($H68*U69&gt;150000,ROUNDDOWN(($H68*U69-150000)*6%*45%,0),0)</f>
        <v>0</v>
      </c>
      <c r="BC69" s="16">
        <f t="shared" ref="BC69" si="1232">IF($H68*V69&gt;150000,ROUNDDOWN(($H68*V69-150000)*6%*45%,0),0)</f>
        <v>0</v>
      </c>
      <c r="BD69" s="16">
        <f t="shared" ref="BD69" si="1233">IF($H68*W69&gt;150000,ROUNDDOWN(($H68*W69-150000)*6%*45%,0),0)</f>
        <v>0</v>
      </c>
      <c r="BE69" s="17">
        <f t="shared" ref="BE69" si="1234">IF($H68*X69&gt;150000,ROUNDDOWN(($H68*X69-150000)*6%*45%,0),0)</f>
        <v>0</v>
      </c>
      <c r="BF69" s="28"/>
    </row>
    <row r="70" spans="1:58" x14ac:dyDescent="0.3">
      <c r="A70" s="142">
        <v>32</v>
      </c>
      <c r="B70" s="116" t="str">
        <f t="shared" ref="B70" si="1235">IF(LEN(D70)&gt;1,IF(VALUE(MID(RIGHT(D70,7),1,1))&gt;4,"외국인",IF(VALUE(RIGHT(11-MOD((MID(D70,1,1)*2+MID(D70,2,1)*3+MID(D70,3,1)*4+MID(D70,4,1)*5+MID(D70,5,1)*6+MID(D70,6,1)*7+MID(RIGHT(D70,7),1,1)*8+MID(RIGHT(D70,7),2,1)*9+MID(RIGHT(D70,7),3,1)*2+MID(RIGHT(D70,7),4,1)*3+MID(RIGHT(D70,7),5,1)*4+MID(RIGHT(D70,7),6,1)*5),11),1))=VALUE(RIGHT(D70,1)),"","오류")),"")</f>
        <v/>
      </c>
      <c r="C70" s="116"/>
      <c r="D70" s="143"/>
      <c r="E70" s="116"/>
      <c r="F70" s="116"/>
      <c r="G70" s="144"/>
      <c r="H70" s="112"/>
      <c r="I70" s="38"/>
      <c r="J70" s="39"/>
      <c r="K70" s="39"/>
      <c r="L70" s="39"/>
      <c r="M70" s="39"/>
      <c r="N70" s="39"/>
      <c r="O70" s="39"/>
      <c r="P70" s="39"/>
      <c r="Q70" s="39"/>
      <c r="R70" s="39"/>
      <c r="S70" s="40"/>
      <c r="T70" s="40"/>
      <c r="U70" s="39"/>
      <c r="V70" s="39"/>
      <c r="W70" s="41"/>
      <c r="X70" s="42"/>
      <c r="Y70" s="145">
        <f>SUM(I70:X71)</f>
        <v>0</v>
      </c>
      <c r="Z70" s="116">
        <f>COUNTIF(I70:X71,"&gt;0")</f>
        <v>0</v>
      </c>
      <c r="AA70" s="112">
        <f t="shared" ref="AA70" si="1236">H70*Y70</f>
        <v>0</v>
      </c>
      <c r="AB70" s="62">
        <f t="shared" ref="AB70" si="1237">IF(AO70&lt;1000, 0, AO70)</f>
        <v>0</v>
      </c>
      <c r="AC70" s="63">
        <f ca="1">IF(IFERROR($AN70&lt;65,FALSE), IF(B70&lt;&gt;"외국인", ROUNDDOWN(AA70*$AH$1%,-1), IF(AND(AM70&lt;&gt;"", ISNUMBER(SEARCH(LEFT(SUBSTITUTE(AM70, "-",""),2), "F2_F5_F6"))), ROUNDDOWN(AA70*$AH$1%,-1), 0)),0)</f>
        <v>0</v>
      </c>
      <c r="AD70" s="64">
        <f t="shared" ref="AD70" si="1238">IF(Z70&gt;=$AJ$1,ROUNDDOWN(AA70*$AH$2%,-1),0)</f>
        <v>0</v>
      </c>
      <c r="AE70" s="112">
        <f t="shared" ref="AE70" ca="1" si="1239">AB70+AC70+AB71+AC71+AD70+AD71</f>
        <v>0</v>
      </c>
      <c r="AF70" s="112">
        <f t="shared" ref="AF70" ca="1" si="1240">AA70-AE70</f>
        <v>0</v>
      </c>
      <c r="AG70" s="116"/>
      <c r="AH70" s="116"/>
      <c r="AI70" s="116"/>
      <c r="AJ70" s="116"/>
      <c r="AK70" s="149"/>
      <c r="AL70" s="149"/>
      <c r="AM70" s="115"/>
      <c r="AN70" s="113" t="str">
        <f t="shared" ref="AN70" ca="1" si="1241">IFERROR(DATEDIF(DATE(IF(ISNUMBER(FIND(MID( SUBSTITUTE(D70, "-",""), 7, 1), "3478")), 2000, 1900)+MID(D70,1,2), MID(D70,3,2), MID(D70,5,2)), TODAY(), "Y"),"")</f>
        <v/>
      </c>
      <c r="AO70" s="112">
        <f>ROUNDDOWN(SUM(AP70:BE71),-1)</f>
        <v>0</v>
      </c>
      <c r="AP70" s="11">
        <f t="shared" ref="AP70" si="1242">IF($H70*I70&gt;150000,ROUNDDOWN(($H70*I70-150000)*6%*45%,0),0)</f>
        <v>0</v>
      </c>
      <c r="AQ70" s="12">
        <f t="shared" ref="AQ70" si="1243">IF($H70*J70&gt;150000,ROUNDDOWN(($H70*J70-150000)*6%*45%,0),0)</f>
        <v>0</v>
      </c>
      <c r="AR70" s="12">
        <f t="shared" ref="AR70" si="1244">IF($H70*K70&gt;150000,ROUNDDOWN(($H70*K70-150000)*6%*45%,0),0)</f>
        <v>0</v>
      </c>
      <c r="AS70" s="12">
        <f t="shared" ref="AS70" si="1245">IF($H70*L70&gt;150000,ROUNDDOWN(($H70*L70-150000)*6%*45%,0),0)</f>
        <v>0</v>
      </c>
      <c r="AT70" s="12">
        <f t="shared" ref="AT70" si="1246">IF($H70*M70&gt;150000,ROUNDDOWN(($H70*M70-150000)*6%*45%,0),0)</f>
        <v>0</v>
      </c>
      <c r="AU70" s="12">
        <f t="shared" ref="AU70" si="1247">IF($H70*N70&gt;150000,ROUNDDOWN(($H70*N70-150000)*6%*45%,0),0)</f>
        <v>0</v>
      </c>
      <c r="AV70" s="12">
        <f t="shared" ref="AV70" si="1248">IF($H70*O70&gt;150000,ROUNDDOWN(($H70*O70-150000)*6%*45%,0),0)</f>
        <v>0</v>
      </c>
      <c r="AW70" s="12">
        <f t="shared" ref="AW70" si="1249">IF($H70*P70&gt;150000,ROUNDDOWN(($H70*P70-150000)*6%*45%,0),0)</f>
        <v>0</v>
      </c>
      <c r="AX70" s="12">
        <f t="shared" ref="AX70" si="1250">IF($H70*Q70&gt;150000,ROUNDDOWN(($H70*Q70-150000)*6%*45%,0),0)</f>
        <v>0</v>
      </c>
      <c r="AY70" s="12">
        <f t="shared" ref="AY70" si="1251">IF($H70*R70&gt;150000,ROUNDDOWN(($H70*R70-150000)*6%*45%,0),0)</f>
        <v>0</v>
      </c>
      <c r="AZ70" s="12">
        <f t="shared" ref="AZ70" si="1252">IF($H70*S70&gt;150000,ROUNDDOWN(($H70*S70-150000)*6%*45%,0),0)</f>
        <v>0</v>
      </c>
      <c r="BA70" s="12">
        <f t="shared" ref="BA70" si="1253">IF($H70*T70&gt;150000,ROUNDDOWN(($H70*T70-150000)*6%*45%,0),0)</f>
        <v>0</v>
      </c>
      <c r="BB70" s="12">
        <f t="shared" ref="BB70" si="1254">IF($H70*U70&gt;150000,ROUNDDOWN(($H70*U70-150000)*6%*45%,0),0)</f>
        <v>0</v>
      </c>
      <c r="BC70" s="12">
        <f t="shared" ref="BC70" si="1255">IF($H70*V70&gt;150000,ROUNDDOWN(($H70*V70-150000)*6%*45%,0),0)</f>
        <v>0</v>
      </c>
      <c r="BD70" s="13">
        <f t="shared" ref="BD70" si="1256">IF($H70*W70&gt;150000,ROUNDDOWN(($H70*W70-150000)*6%*45%,0),0)</f>
        <v>0</v>
      </c>
      <c r="BE70" s="14"/>
    </row>
    <row r="71" spans="1:58" x14ac:dyDescent="0.3">
      <c r="A71" s="142"/>
      <c r="B71" s="116"/>
      <c r="C71" s="116"/>
      <c r="D71" s="143"/>
      <c r="E71" s="116"/>
      <c r="F71" s="116"/>
      <c r="G71" s="144"/>
      <c r="H71" s="112"/>
      <c r="I71" s="43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5"/>
      <c r="Y71" s="145"/>
      <c r="Z71" s="116"/>
      <c r="AA71" s="112"/>
      <c r="AB71" s="65">
        <f t="shared" ref="AB71" si="1257">ROUNDDOWN(AB70*10%,-1)</f>
        <v>0</v>
      </c>
      <c r="AC71" s="66">
        <f t="shared" ref="AC71" ca="1" si="1258">IFERROR(IF(AND( OR(COUNTIF(I70:X71, "&gt;0")&gt;=$AJ$1, AA70&gt;=$AJ$4),AN70&lt;60,AA70&lt;=$AH$5),ROUNDDOWN(ROUNDDOWN(AA70,-3)*$AH$4%,-1),IF(AND(COUNTIF(I70:X71,"&gt;0")&gt;=$AJ$1,AN70&lt;60,AA70&gt;$AH$5),$AJ$5,0)),0)</f>
        <v>0</v>
      </c>
      <c r="AD71" s="67">
        <f t="shared" ref="AD71" si="1259">IF(Z70&gt;=$AJ$1,ROUNDDOWN(AD70*$AH$3%/($AH$2*2%),-1),0)</f>
        <v>0</v>
      </c>
      <c r="AE71" s="112"/>
      <c r="AF71" s="112"/>
      <c r="AG71" s="116"/>
      <c r="AH71" s="116"/>
      <c r="AI71" s="116"/>
      <c r="AJ71" s="116"/>
      <c r="AK71" s="149"/>
      <c r="AL71" s="149"/>
      <c r="AM71" s="115"/>
      <c r="AN71" s="113"/>
      <c r="AO71" s="112"/>
      <c r="AP71" s="15">
        <f t="shared" ref="AP71" si="1260">IF($H70*I71&gt;150000,ROUNDDOWN(($H70*I71-150000)*6%*45%,0),0)</f>
        <v>0</v>
      </c>
      <c r="AQ71" s="16">
        <f t="shared" ref="AQ71" si="1261">IF($H70*J71&gt;150000,ROUNDDOWN(($H70*J71-150000)*6%*45%,0),0)</f>
        <v>0</v>
      </c>
      <c r="AR71" s="16">
        <f t="shared" ref="AR71" si="1262">IF($H70*K71&gt;150000,ROUNDDOWN(($H70*K71-150000)*6%*45%,0),0)</f>
        <v>0</v>
      </c>
      <c r="AS71" s="16">
        <f t="shared" ref="AS71" si="1263">IF($H70*L71&gt;150000,ROUNDDOWN(($H70*L71-150000)*6%*45%,0),0)</f>
        <v>0</v>
      </c>
      <c r="AT71" s="16">
        <f t="shared" ref="AT71" si="1264">IF($H70*M71&gt;150000,ROUNDDOWN(($H70*M71-150000)*6%*45%,0),0)</f>
        <v>0</v>
      </c>
      <c r="AU71" s="16">
        <f t="shared" ref="AU71" si="1265">IF($H70*N71&gt;150000,ROUNDDOWN(($H70*N71-150000)*6%*45%,0),0)</f>
        <v>0</v>
      </c>
      <c r="AV71" s="16">
        <f t="shared" ref="AV71" si="1266">IF($H70*O71&gt;150000,ROUNDDOWN(($H70*O71-150000)*6%*45%,0),0)</f>
        <v>0</v>
      </c>
      <c r="AW71" s="16">
        <f t="shared" ref="AW71" si="1267">IF($H70*P71&gt;150000,ROUNDDOWN(($H70*P71-150000)*6%*45%,0),0)</f>
        <v>0</v>
      </c>
      <c r="AX71" s="16">
        <f t="shared" ref="AX71" si="1268">IF($H70*Q71&gt;150000,ROUNDDOWN(($H70*Q71-150000)*6%*45%,0),0)</f>
        <v>0</v>
      </c>
      <c r="AY71" s="16">
        <f t="shared" ref="AY71" si="1269">IF($H70*R71&gt;150000,ROUNDDOWN(($H70*R71-150000)*6%*45%,0),0)</f>
        <v>0</v>
      </c>
      <c r="AZ71" s="16">
        <f t="shared" ref="AZ71" si="1270">IF($H70*S71&gt;150000,ROUNDDOWN(($H70*S71-150000)*6%*45%,0),0)</f>
        <v>0</v>
      </c>
      <c r="BA71" s="16">
        <f t="shared" ref="BA71" si="1271">IF($H70*T71&gt;150000,ROUNDDOWN(($H70*T71-150000)*6%*45%,0),0)</f>
        <v>0</v>
      </c>
      <c r="BB71" s="16">
        <f t="shared" ref="BB71" si="1272">IF($H70*U71&gt;150000,ROUNDDOWN(($H70*U71-150000)*6%*45%,0),0)</f>
        <v>0</v>
      </c>
      <c r="BC71" s="16">
        <f t="shared" ref="BC71" si="1273">IF($H70*V71&gt;150000,ROUNDDOWN(($H70*V71-150000)*6%*45%,0),0)</f>
        <v>0</v>
      </c>
      <c r="BD71" s="16">
        <f t="shared" ref="BD71" si="1274">IF($H70*W71&gt;150000,ROUNDDOWN(($H70*W71-150000)*6%*45%,0),0)</f>
        <v>0</v>
      </c>
      <c r="BE71" s="17">
        <f t="shared" ref="BE71" si="1275">IF($H70*X71&gt;150000,ROUNDDOWN(($H70*X71-150000)*6%*45%,0),0)</f>
        <v>0</v>
      </c>
      <c r="BF71" s="28"/>
    </row>
    <row r="72" spans="1:58" x14ac:dyDescent="0.3">
      <c r="A72" s="142">
        <v>33</v>
      </c>
      <c r="B72" s="116" t="str">
        <f t="shared" ref="B72" si="1276">IF(LEN(D72)&gt;1,IF(VALUE(MID(RIGHT(D72,7),1,1))&gt;4,"외국인",IF(VALUE(RIGHT(11-MOD((MID(D72,1,1)*2+MID(D72,2,1)*3+MID(D72,3,1)*4+MID(D72,4,1)*5+MID(D72,5,1)*6+MID(D72,6,1)*7+MID(RIGHT(D72,7),1,1)*8+MID(RIGHT(D72,7),2,1)*9+MID(RIGHT(D72,7),3,1)*2+MID(RIGHT(D72,7),4,1)*3+MID(RIGHT(D72,7),5,1)*4+MID(RIGHT(D72,7),6,1)*5),11),1))=VALUE(RIGHT(D72,1)),"","오류")),"")</f>
        <v/>
      </c>
      <c r="C72" s="116"/>
      <c r="D72" s="143"/>
      <c r="E72" s="116"/>
      <c r="F72" s="116"/>
      <c r="G72" s="144"/>
      <c r="H72" s="112"/>
      <c r="I72" s="38"/>
      <c r="J72" s="39"/>
      <c r="K72" s="39"/>
      <c r="L72" s="39"/>
      <c r="M72" s="39"/>
      <c r="N72" s="39"/>
      <c r="O72" s="39"/>
      <c r="P72" s="39"/>
      <c r="Q72" s="39"/>
      <c r="R72" s="39"/>
      <c r="S72" s="40"/>
      <c r="T72" s="40"/>
      <c r="U72" s="39"/>
      <c r="V72" s="39"/>
      <c r="W72" s="41"/>
      <c r="X72" s="42"/>
      <c r="Y72" s="145">
        <f>SUM(I72:X73)</f>
        <v>0</v>
      </c>
      <c r="Z72" s="116">
        <f>COUNTIF(I72:X73,"&gt;0")</f>
        <v>0</v>
      </c>
      <c r="AA72" s="112">
        <f t="shared" ref="AA72" si="1277">H72*Y72</f>
        <v>0</v>
      </c>
      <c r="AB72" s="62">
        <f t="shared" ref="AB72" si="1278">IF(AO72&lt;1000, 0, AO72)</f>
        <v>0</v>
      </c>
      <c r="AC72" s="63">
        <f ca="1">IF(IFERROR($AN72&lt;65,FALSE), IF(B72&lt;&gt;"외국인", ROUNDDOWN(AA72*$AH$1%,-1), IF(AND(AM72&lt;&gt;"", ISNUMBER(SEARCH(LEFT(SUBSTITUTE(AM72, "-",""),2), "F2_F5_F6"))), ROUNDDOWN(AA72*$AH$1%,-1), 0)),0)</f>
        <v>0</v>
      </c>
      <c r="AD72" s="64">
        <f t="shared" ref="AD72" si="1279">IF(Z72&gt;=$AJ$1,ROUNDDOWN(AA72*$AH$2%,-1),0)</f>
        <v>0</v>
      </c>
      <c r="AE72" s="112">
        <f t="shared" ref="AE72" ca="1" si="1280">AB72+AC72+AB73+AC73+AD72+AD73</f>
        <v>0</v>
      </c>
      <c r="AF72" s="112">
        <f t="shared" ref="AF72" ca="1" si="1281">AA72-AE72</f>
        <v>0</v>
      </c>
      <c r="AG72" s="116"/>
      <c r="AH72" s="116"/>
      <c r="AI72" s="116"/>
      <c r="AJ72" s="116"/>
      <c r="AK72" s="149"/>
      <c r="AL72" s="149"/>
      <c r="AM72" s="115"/>
      <c r="AN72" s="113" t="str">
        <f t="shared" ref="AN72" ca="1" si="1282">IFERROR(DATEDIF(DATE(IF(ISNUMBER(FIND(MID( SUBSTITUTE(D72, "-",""), 7, 1), "3478")), 2000, 1900)+MID(D72,1,2), MID(D72,3,2), MID(D72,5,2)), TODAY(), "Y"),"")</f>
        <v/>
      </c>
      <c r="AO72" s="112">
        <f>ROUNDDOWN(SUM(AP72:BE73),-1)</f>
        <v>0</v>
      </c>
      <c r="AP72" s="11">
        <f t="shared" ref="AP72" si="1283">IF($H72*I72&gt;150000,ROUNDDOWN(($H72*I72-150000)*6%*45%,0),0)</f>
        <v>0</v>
      </c>
      <c r="AQ72" s="12">
        <f t="shared" ref="AQ72" si="1284">IF($H72*J72&gt;150000,ROUNDDOWN(($H72*J72-150000)*6%*45%,0),0)</f>
        <v>0</v>
      </c>
      <c r="AR72" s="12">
        <f t="shared" ref="AR72" si="1285">IF($H72*K72&gt;150000,ROUNDDOWN(($H72*K72-150000)*6%*45%,0),0)</f>
        <v>0</v>
      </c>
      <c r="AS72" s="12">
        <f t="shared" ref="AS72" si="1286">IF($H72*L72&gt;150000,ROUNDDOWN(($H72*L72-150000)*6%*45%,0),0)</f>
        <v>0</v>
      </c>
      <c r="AT72" s="12">
        <f t="shared" ref="AT72" si="1287">IF($H72*M72&gt;150000,ROUNDDOWN(($H72*M72-150000)*6%*45%,0),0)</f>
        <v>0</v>
      </c>
      <c r="AU72" s="12">
        <f t="shared" ref="AU72" si="1288">IF($H72*N72&gt;150000,ROUNDDOWN(($H72*N72-150000)*6%*45%,0),0)</f>
        <v>0</v>
      </c>
      <c r="AV72" s="12">
        <f t="shared" ref="AV72" si="1289">IF($H72*O72&gt;150000,ROUNDDOWN(($H72*O72-150000)*6%*45%,0),0)</f>
        <v>0</v>
      </c>
      <c r="AW72" s="12">
        <f t="shared" ref="AW72" si="1290">IF($H72*P72&gt;150000,ROUNDDOWN(($H72*P72-150000)*6%*45%,0),0)</f>
        <v>0</v>
      </c>
      <c r="AX72" s="12">
        <f t="shared" ref="AX72" si="1291">IF($H72*Q72&gt;150000,ROUNDDOWN(($H72*Q72-150000)*6%*45%,0),0)</f>
        <v>0</v>
      </c>
      <c r="AY72" s="12">
        <f t="shared" ref="AY72" si="1292">IF($H72*R72&gt;150000,ROUNDDOWN(($H72*R72-150000)*6%*45%,0),0)</f>
        <v>0</v>
      </c>
      <c r="AZ72" s="12">
        <f t="shared" ref="AZ72" si="1293">IF($H72*S72&gt;150000,ROUNDDOWN(($H72*S72-150000)*6%*45%,0),0)</f>
        <v>0</v>
      </c>
      <c r="BA72" s="12">
        <f t="shared" ref="BA72" si="1294">IF($H72*T72&gt;150000,ROUNDDOWN(($H72*T72-150000)*6%*45%,0),0)</f>
        <v>0</v>
      </c>
      <c r="BB72" s="12">
        <f t="shared" ref="BB72" si="1295">IF($H72*U72&gt;150000,ROUNDDOWN(($H72*U72-150000)*6%*45%,0),0)</f>
        <v>0</v>
      </c>
      <c r="BC72" s="12">
        <f t="shared" ref="BC72" si="1296">IF($H72*V72&gt;150000,ROUNDDOWN(($H72*V72-150000)*6%*45%,0),0)</f>
        <v>0</v>
      </c>
      <c r="BD72" s="13">
        <f t="shared" ref="BD72" si="1297">IF($H72*W72&gt;150000,ROUNDDOWN(($H72*W72-150000)*6%*45%,0),0)</f>
        <v>0</v>
      </c>
      <c r="BE72" s="14"/>
    </row>
    <row r="73" spans="1:58" x14ac:dyDescent="0.3">
      <c r="A73" s="142"/>
      <c r="B73" s="116"/>
      <c r="C73" s="116"/>
      <c r="D73" s="143"/>
      <c r="E73" s="116"/>
      <c r="F73" s="116"/>
      <c r="G73" s="144"/>
      <c r="H73" s="112"/>
      <c r="I73" s="43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5"/>
      <c r="Y73" s="145"/>
      <c r="Z73" s="116"/>
      <c r="AA73" s="112"/>
      <c r="AB73" s="65">
        <f t="shared" ref="AB73" si="1298">ROUNDDOWN(AB72*10%,-1)</f>
        <v>0</v>
      </c>
      <c r="AC73" s="66">
        <f t="shared" ref="AC73" ca="1" si="1299">IFERROR(IF(AND( OR(COUNTIF(I72:X73, "&gt;0")&gt;=$AJ$1, AA72&gt;=$AJ$4),AN72&lt;60,AA72&lt;=$AH$5),ROUNDDOWN(ROUNDDOWN(AA72,-3)*$AH$4%,-1),IF(AND(COUNTIF(I72:X73,"&gt;0")&gt;=$AJ$1,AN72&lt;60,AA72&gt;$AH$5),$AJ$5,0)),0)</f>
        <v>0</v>
      </c>
      <c r="AD73" s="67">
        <f t="shared" ref="AD73" si="1300">IF(Z72&gt;=$AJ$1,ROUNDDOWN(AD72*$AH$3%/($AH$2*2%),-1),0)</f>
        <v>0</v>
      </c>
      <c r="AE73" s="112"/>
      <c r="AF73" s="112"/>
      <c r="AG73" s="116"/>
      <c r="AH73" s="116"/>
      <c r="AI73" s="116"/>
      <c r="AJ73" s="116"/>
      <c r="AK73" s="149"/>
      <c r="AL73" s="149"/>
      <c r="AM73" s="115"/>
      <c r="AN73" s="113"/>
      <c r="AO73" s="112"/>
      <c r="AP73" s="15">
        <f t="shared" ref="AP73" si="1301">IF($H72*I73&gt;150000,ROUNDDOWN(($H72*I73-150000)*6%*45%,0),0)</f>
        <v>0</v>
      </c>
      <c r="AQ73" s="16">
        <f t="shared" ref="AQ73" si="1302">IF($H72*J73&gt;150000,ROUNDDOWN(($H72*J73-150000)*6%*45%,0),0)</f>
        <v>0</v>
      </c>
      <c r="AR73" s="16">
        <f t="shared" ref="AR73" si="1303">IF($H72*K73&gt;150000,ROUNDDOWN(($H72*K73-150000)*6%*45%,0),0)</f>
        <v>0</v>
      </c>
      <c r="AS73" s="16">
        <f t="shared" ref="AS73" si="1304">IF($H72*L73&gt;150000,ROUNDDOWN(($H72*L73-150000)*6%*45%,0),0)</f>
        <v>0</v>
      </c>
      <c r="AT73" s="16">
        <f t="shared" ref="AT73" si="1305">IF($H72*M73&gt;150000,ROUNDDOWN(($H72*M73-150000)*6%*45%,0),0)</f>
        <v>0</v>
      </c>
      <c r="AU73" s="16">
        <f t="shared" ref="AU73" si="1306">IF($H72*N73&gt;150000,ROUNDDOWN(($H72*N73-150000)*6%*45%,0),0)</f>
        <v>0</v>
      </c>
      <c r="AV73" s="16">
        <f t="shared" ref="AV73" si="1307">IF($H72*O73&gt;150000,ROUNDDOWN(($H72*O73-150000)*6%*45%,0),0)</f>
        <v>0</v>
      </c>
      <c r="AW73" s="16">
        <f t="shared" ref="AW73" si="1308">IF($H72*P73&gt;150000,ROUNDDOWN(($H72*P73-150000)*6%*45%,0),0)</f>
        <v>0</v>
      </c>
      <c r="AX73" s="16">
        <f t="shared" ref="AX73" si="1309">IF($H72*Q73&gt;150000,ROUNDDOWN(($H72*Q73-150000)*6%*45%,0),0)</f>
        <v>0</v>
      </c>
      <c r="AY73" s="16">
        <f t="shared" ref="AY73" si="1310">IF($H72*R73&gt;150000,ROUNDDOWN(($H72*R73-150000)*6%*45%,0),0)</f>
        <v>0</v>
      </c>
      <c r="AZ73" s="16">
        <f t="shared" ref="AZ73" si="1311">IF($H72*S73&gt;150000,ROUNDDOWN(($H72*S73-150000)*6%*45%,0),0)</f>
        <v>0</v>
      </c>
      <c r="BA73" s="16">
        <f t="shared" ref="BA73" si="1312">IF($H72*T73&gt;150000,ROUNDDOWN(($H72*T73-150000)*6%*45%,0),0)</f>
        <v>0</v>
      </c>
      <c r="BB73" s="16">
        <f t="shared" ref="BB73" si="1313">IF($H72*U73&gt;150000,ROUNDDOWN(($H72*U73-150000)*6%*45%,0),0)</f>
        <v>0</v>
      </c>
      <c r="BC73" s="16">
        <f t="shared" ref="BC73" si="1314">IF($H72*V73&gt;150000,ROUNDDOWN(($H72*V73-150000)*6%*45%,0),0)</f>
        <v>0</v>
      </c>
      <c r="BD73" s="16">
        <f t="shared" ref="BD73" si="1315">IF($H72*W73&gt;150000,ROUNDDOWN(($H72*W73-150000)*6%*45%,0),0)</f>
        <v>0</v>
      </c>
      <c r="BE73" s="17">
        <f t="shared" ref="BE73" si="1316">IF($H72*X73&gt;150000,ROUNDDOWN(($H72*X73-150000)*6%*45%,0),0)</f>
        <v>0</v>
      </c>
      <c r="BF73" s="28"/>
    </row>
    <row r="74" spans="1:58" x14ac:dyDescent="0.3">
      <c r="A74" s="142">
        <v>34</v>
      </c>
      <c r="B74" s="116" t="str">
        <f t="shared" ref="B74" si="1317">IF(LEN(D74)&gt;1,IF(VALUE(MID(RIGHT(D74,7),1,1))&gt;4,"외국인",IF(VALUE(RIGHT(11-MOD((MID(D74,1,1)*2+MID(D74,2,1)*3+MID(D74,3,1)*4+MID(D74,4,1)*5+MID(D74,5,1)*6+MID(D74,6,1)*7+MID(RIGHT(D74,7),1,1)*8+MID(RIGHT(D74,7),2,1)*9+MID(RIGHT(D74,7),3,1)*2+MID(RIGHT(D74,7),4,1)*3+MID(RIGHT(D74,7),5,1)*4+MID(RIGHT(D74,7),6,1)*5),11),1))=VALUE(RIGHT(D74,1)),"","오류")),"")</f>
        <v/>
      </c>
      <c r="C74" s="116"/>
      <c r="D74" s="143"/>
      <c r="E74" s="116"/>
      <c r="F74" s="116"/>
      <c r="G74" s="144"/>
      <c r="H74" s="112"/>
      <c r="I74" s="38"/>
      <c r="J74" s="39"/>
      <c r="K74" s="39"/>
      <c r="L74" s="39"/>
      <c r="M74" s="39"/>
      <c r="N74" s="39"/>
      <c r="O74" s="39"/>
      <c r="P74" s="39"/>
      <c r="Q74" s="39"/>
      <c r="R74" s="39"/>
      <c r="S74" s="40"/>
      <c r="T74" s="40"/>
      <c r="U74" s="39"/>
      <c r="V74" s="39"/>
      <c r="W74" s="41"/>
      <c r="X74" s="42"/>
      <c r="Y74" s="145">
        <f>SUM(I74:X75)</f>
        <v>0</v>
      </c>
      <c r="Z74" s="116">
        <f>COUNTIF(I74:X75,"&gt;0")</f>
        <v>0</v>
      </c>
      <c r="AA74" s="112">
        <f t="shared" ref="AA74" si="1318">H74*Y74</f>
        <v>0</v>
      </c>
      <c r="AB74" s="62">
        <f t="shared" ref="AB74" si="1319">IF(AO74&lt;1000, 0, AO74)</f>
        <v>0</v>
      </c>
      <c r="AC74" s="63">
        <f ca="1">IF(IFERROR($AN74&lt;65,FALSE), IF(B74&lt;&gt;"외국인", ROUNDDOWN(AA74*$AH$1%,-1), IF(AND(AM74&lt;&gt;"", ISNUMBER(SEARCH(LEFT(SUBSTITUTE(AM74, "-",""),2), "F2_F5_F6"))), ROUNDDOWN(AA74*$AH$1%,-1), 0)),0)</f>
        <v>0</v>
      </c>
      <c r="AD74" s="64">
        <f t="shared" ref="AD74" si="1320">IF(Z74&gt;=$AJ$1,ROUNDDOWN(AA74*$AH$2%,-1),0)</f>
        <v>0</v>
      </c>
      <c r="AE74" s="112">
        <f t="shared" ref="AE74" ca="1" si="1321">AB74+AC74+AB75+AC75+AD74+AD75</f>
        <v>0</v>
      </c>
      <c r="AF74" s="112">
        <f t="shared" ref="AF74" ca="1" si="1322">AA74-AE74</f>
        <v>0</v>
      </c>
      <c r="AG74" s="116"/>
      <c r="AH74" s="116"/>
      <c r="AI74" s="116"/>
      <c r="AJ74" s="116"/>
      <c r="AK74" s="149"/>
      <c r="AL74" s="149"/>
      <c r="AM74" s="115"/>
      <c r="AN74" s="113" t="str">
        <f t="shared" ref="AN74" ca="1" si="1323">IFERROR(DATEDIF(DATE(IF(ISNUMBER(FIND(MID( SUBSTITUTE(D74, "-",""), 7, 1), "3478")), 2000, 1900)+MID(D74,1,2), MID(D74,3,2), MID(D74,5,2)), TODAY(), "Y"),"")</f>
        <v/>
      </c>
      <c r="AO74" s="112">
        <f>ROUNDDOWN(SUM(AP74:BE75),-1)</f>
        <v>0</v>
      </c>
      <c r="AP74" s="11">
        <f t="shared" ref="AP74" si="1324">IF($H74*I74&gt;150000,ROUNDDOWN(($H74*I74-150000)*6%*45%,0),0)</f>
        <v>0</v>
      </c>
      <c r="AQ74" s="12">
        <f t="shared" ref="AQ74" si="1325">IF($H74*J74&gt;150000,ROUNDDOWN(($H74*J74-150000)*6%*45%,0),0)</f>
        <v>0</v>
      </c>
      <c r="AR74" s="12">
        <f t="shared" ref="AR74" si="1326">IF($H74*K74&gt;150000,ROUNDDOWN(($H74*K74-150000)*6%*45%,0),0)</f>
        <v>0</v>
      </c>
      <c r="AS74" s="12">
        <f t="shared" ref="AS74" si="1327">IF($H74*L74&gt;150000,ROUNDDOWN(($H74*L74-150000)*6%*45%,0),0)</f>
        <v>0</v>
      </c>
      <c r="AT74" s="12">
        <f t="shared" ref="AT74" si="1328">IF($H74*M74&gt;150000,ROUNDDOWN(($H74*M74-150000)*6%*45%,0),0)</f>
        <v>0</v>
      </c>
      <c r="AU74" s="12">
        <f t="shared" ref="AU74" si="1329">IF($H74*N74&gt;150000,ROUNDDOWN(($H74*N74-150000)*6%*45%,0),0)</f>
        <v>0</v>
      </c>
      <c r="AV74" s="12">
        <f t="shared" ref="AV74" si="1330">IF($H74*O74&gt;150000,ROUNDDOWN(($H74*O74-150000)*6%*45%,0),0)</f>
        <v>0</v>
      </c>
      <c r="AW74" s="12">
        <f t="shared" ref="AW74" si="1331">IF($H74*P74&gt;150000,ROUNDDOWN(($H74*P74-150000)*6%*45%,0),0)</f>
        <v>0</v>
      </c>
      <c r="AX74" s="12">
        <f t="shared" ref="AX74" si="1332">IF($H74*Q74&gt;150000,ROUNDDOWN(($H74*Q74-150000)*6%*45%,0),0)</f>
        <v>0</v>
      </c>
      <c r="AY74" s="12">
        <f t="shared" ref="AY74" si="1333">IF($H74*R74&gt;150000,ROUNDDOWN(($H74*R74-150000)*6%*45%,0),0)</f>
        <v>0</v>
      </c>
      <c r="AZ74" s="12">
        <f t="shared" ref="AZ74" si="1334">IF($H74*S74&gt;150000,ROUNDDOWN(($H74*S74-150000)*6%*45%,0),0)</f>
        <v>0</v>
      </c>
      <c r="BA74" s="12">
        <f t="shared" ref="BA74" si="1335">IF($H74*T74&gt;150000,ROUNDDOWN(($H74*T74-150000)*6%*45%,0),0)</f>
        <v>0</v>
      </c>
      <c r="BB74" s="12">
        <f t="shared" ref="BB74" si="1336">IF($H74*U74&gt;150000,ROUNDDOWN(($H74*U74-150000)*6%*45%,0),0)</f>
        <v>0</v>
      </c>
      <c r="BC74" s="12">
        <f t="shared" ref="BC74" si="1337">IF($H74*V74&gt;150000,ROUNDDOWN(($H74*V74-150000)*6%*45%,0),0)</f>
        <v>0</v>
      </c>
      <c r="BD74" s="13">
        <f t="shared" ref="BD74" si="1338">IF($H74*W74&gt;150000,ROUNDDOWN(($H74*W74-150000)*6%*45%,0),0)</f>
        <v>0</v>
      </c>
      <c r="BE74" s="14"/>
    </row>
    <row r="75" spans="1:58" x14ac:dyDescent="0.3">
      <c r="A75" s="142"/>
      <c r="B75" s="116"/>
      <c r="C75" s="116"/>
      <c r="D75" s="143"/>
      <c r="E75" s="116"/>
      <c r="F75" s="116"/>
      <c r="G75" s="144"/>
      <c r="H75" s="112"/>
      <c r="I75" s="43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5"/>
      <c r="Y75" s="145"/>
      <c r="Z75" s="116"/>
      <c r="AA75" s="112"/>
      <c r="AB75" s="65">
        <f t="shared" ref="AB75" si="1339">ROUNDDOWN(AB74*10%,-1)</f>
        <v>0</v>
      </c>
      <c r="AC75" s="66">
        <f t="shared" ref="AC75" ca="1" si="1340">IFERROR(IF(AND( OR(COUNTIF(I74:X75, "&gt;0")&gt;=$AJ$1, AA74&gt;=$AJ$4),AN74&lt;60,AA74&lt;=$AH$5),ROUNDDOWN(ROUNDDOWN(AA74,-3)*$AH$4%,-1),IF(AND(COUNTIF(I74:X75,"&gt;0")&gt;=$AJ$1,AN74&lt;60,AA74&gt;$AH$5),$AJ$5,0)),0)</f>
        <v>0</v>
      </c>
      <c r="AD75" s="67">
        <f t="shared" ref="AD75" si="1341">IF(Z74&gt;=$AJ$1,ROUNDDOWN(AD74*$AH$3%/($AH$2*2%),-1),0)</f>
        <v>0</v>
      </c>
      <c r="AE75" s="112"/>
      <c r="AF75" s="112"/>
      <c r="AG75" s="116"/>
      <c r="AH75" s="116"/>
      <c r="AI75" s="116"/>
      <c r="AJ75" s="116"/>
      <c r="AK75" s="149"/>
      <c r="AL75" s="149"/>
      <c r="AM75" s="115"/>
      <c r="AN75" s="113"/>
      <c r="AO75" s="112"/>
      <c r="AP75" s="15">
        <f t="shared" ref="AP75" si="1342">IF($H74*I75&gt;150000,ROUNDDOWN(($H74*I75-150000)*6%*45%,0),0)</f>
        <v>0</v>
      </c>
      <c r="AQ75" s="16">
        <f t="shared" ref="AQ75" si="1343">IF($H74*J75&gt;150000,ROUNDDOWN(($H74*J75-150000)*6%*45%,0),0)</f>
        <v>0</v>
      </c>
      <c r="AR75" s="16">
        <f t="shared" ref="AR75" si="1344">IF($H74*K75&gt;150000,ROUNDDOWN(($H74*K75-150000)*6%*45%,0),0)</f>
        <v>0</v>
      </c>
      <c r="AS75" s="16">
        <f t="shared" ref="AS75" si="1345">IF($H74*L75&gt;150000,ROUNDDOWN(($H74*L75-150000)*6%*45%,0),0)</f>
        <v>0</v>
      </c>
      <c r="AT75" s="16">
        <f t="shared" ref="AT75" si="1346">IF($H74*M75&gt;150000,ROUNDDOWN(($H74*M75-150000)*6%*45%,0),0)</f>
        <v>0</v>
      </c>
      <c r="AU75" s="16">
        <f t="shared" ref="AU75" si="1347">IF($H74*N75&gt;150000,ROUNDDOWN(($H74*N75-150000)*6%*45%,0),0)</f>
        <v>0</v>
      </c>
      <c r="AV75" s="16">
        <f t="shared" ref="AV75" si="1348">IF($H74*O75&gt;150000,ROUNDDOWN(($H74*O75-150000)*6%*45%,0),0)</f>
        <v>0</v>
      </c>
      <c r="AW75" s="16">
        <f t="shared" ref="AW75" si="1349">IF($H74*P75&gt;150000,ROUNDDOWN(($H74*P75-150000)*6%*45%,0),0)</f>
        <v>0</v>
      </c>
      <c r="AX75" s="16">
        <f t="shared" ref="AX75" si="1350">IF($H74*Q75&gt;150000,ROUNDDOWN(($H74*Q75-150000)*6%*45%,0),0)</f>
        <v>0</v>
      </c>
      <c r="AY75" s="16">
        <f t="shared" ref="AY75" si="1351">IF($H74*R75&gt;150000,ROUNDDOWN(($H74*R75-150000)*6%*45%,0),0)</f>
        <v>0</v>
      </c>
      <c r="AZ75" s="16">
        <f t="shared" ref="AZ75" si="1352">IF($H74*S75&gt;150000,ROUNDDOWN(($H74*S75-150000)*6%*45%,0),0)</f>
        <v>0</v>
      </c>
      <c r="BA75" s="16">
        <f t="shared" ref="BA75" si="1353">IF($H74*T75&gt;150000,ROUNDDOWN(($H74*T75-150000)*6%*45%,0),0)</f>
        <v>0</v>
      </c>
      <c r="BB75" s="16">
        <f t="shared" ref="BB75" si="1354">IF($H74*U75&gt;150000,ROUNDDOWN(($H74*U75-150000)*6%*45%,0),0)</f>
        <v>0</v>
      </c>
      <c r="BC75" s="16">
        <f t="shared" ref="BC75" si="1355">IF($H74*V75&gt;150000,ROUNDDOWN(($H74*V75-150000)*6%*45%,0),0)</f>
        <v>0</v>
      </c>
      <c r="BD75" s="16">
        <f t="shared" ref="BD75" si="1356">IF($H74*W75&gt;150000,ROUNDDOWN(($H74*W75-150000)*6%*45%,0),0)</f>
        <v>0</v>
      </c>
      <c r="BE75" s="17">
        <f t="shared" ref="BE75" si="1357">IF($H74*X75&gt;150000,ROUNDDOWN(($H74*X75-150000)*6%*45%,0),0)</f>
        <v>0</v>
      </c>
      <c r="BF75" s="28"/>
    </row>
    <row r="76" spans="1:58" x14ac:dyDescent="0.3">
      <c r="A76" s="142">
        <v>35</v>
      </c>
      <c r="B76" s="116" t="str">
        <f t="shared" ref="B76" si="1358">IF(LEN(D76)&gt;1,IF(VALUE(MID(RIGHT(D76,7),1,1))&gt;4,"외국인",IF(VALUE(RIGHT(11-MOD((MID(D76,1,1)*2+MID(D76,2,1)*3+MID(D76,3,1)*4+MID(D76,4,1)*5+MID(D76,5,1)*6+MID(D76,6,1)*7+MID(RIGHT(D76,7),1,1)*8+MID(RIGHT(D76,7),2,1)*9+MID(RIGHT(D76,7),3,1)*2+MID(RIGHT(D76,7),4,1)*3+MID(RIGHT(D76,7),5,1)*4+MID(RIGHT(D76,7),6,1)*5),11),1))=VALUE(RIGHT(D76,1)),"","오류")),"")</f>
        <v/>
      </c>
      <c r="C76" s="116"/>
      <c r="D76" s="143"/>
      <c r="E76" s="116"/>
      <c r="F76" s="116"/>
      <c r="G76" s="144"/>
      <c r="H76" s="112"/>
      <c r="I76" s="38"/>
      <c r="J76" s="39"/>
      <c r="K76" s="39"/>
      <c r="L76" s="39"/>
      <c r="M76" s="39"/>
      <c r="N76" s="39"/>
      <c r="O76" s="39"/>
      <c r="P76" s="39"/>
      <c r="Q76" s="39"/>
      <c r="R76" s="39"/>
      <c r="S76" s="40"/>
      <c r="T76" s="40"/>
      <c r="U76" s="39"/>
      <c r="V76" s="39"/>
      <c r="W76" s="41"/>
      <c r="X76" s="42"/>
      <c r="Y76" s="145">
        <f>SUM(I76:X77)</f>
        <v>0</v>
      </c>
      <c r="Z76" s="116">
        <f>COUNTIF(I76:X77,"&gt;0")</f>
        <v>0</v>
      </c>
      <c r="AA76" s="112">
        <f t="shared" ref="AA76" si="1359">H76*Y76</f>
        <v>0</v>
      </c>
      <c r="AB76" s="62">
        <f t="shared" ref="AB76" si="1360">IF(AO76&lt;1000, 0, AO76)</f>
        <v>0</v>
      </c>
      <c r="AC76" s="63">
        <f ca="1">IF(IFERROR($AN76&lt;65,FALSE), IF(B76&lt;&gt;"외국인", ROUNDDOWN(AA76*$AH$1%,-1), IF(AND(AM76&lt;&gt;"", ISNUMBER(SEARCH(LEFT(SUBSTITUTE(AM76, "-",""),2), "F2_F5_F6"))), ROUNDDOWN(AA76*$AH$1%,-1), 0)),0)</f>
        <v>0</v>
      </c>
      <c r="AD76" s="64">
        <f t="shared" ref="AD76" si="1361">IF(Z76&gt;=$AJ$1,ROUNDDOWN(AA76*$AH$2%,-1),0)</f>
        <v>0</v>
      </c>
      <c r="AE76" s="112">
        <f t="shared" ref="AE76" ca="1" si="1362">AB76+AC76+AB77+AC77+AD76+AD77</f>
        <v>0</v>
      </c>
      <c r="AF76" s="112">
        <f t="shared" ref="AF76" ca="1" si="1363">AA76-AE76</f>
        <v>0</v>
      </c>
      <c r="AG76" s="116"/>
      <c r="AH76" s="116"/>
      <c r="AI76" s="116"/>
      <c r="AJ76" s="116"/>
      <c r="AK76" s="149"/>
      <c r="AL76" s="149"/>
      <c r="AM76" s="115"/>
      <c r="AN76" s="113" t="str">
        <f t="shared" ref="AN76" ca="1" si="1364">IFERROR(DATEDIF(DATE(IF(ISNUMBER(FIND(MID( SUBSTITUTE(D76, "-",""), 7, 1), "3478")), 2000, 1900)+MID(D76,1,2), MID(D76,3,2), MID(D76,5,2)), TODAY(), "Y"),"")</f>
        <v/>
      </c>
      <c r="AO76" s="112">
        <f>ROUNDDOWN(SUM(AP76:BE77),-1)</f>
        <v>0</v>
      </c>
      <c r="AP76" s="11">
        <f t="shared" ref="AP76" si="1365">IF($H76*I76&gt;150000,ROUNDDOWN(($H76*I76-150000)*6%*45%,0),0)</f>
        <v>0</v>
      </c>
      <c r="AQ76" s="12">
        <f t="shared" ref="AQ76" si="1366">IF($H76*J76&gt;150000,ROUNDDOWN(($H76*J76-150000)*6%*45%,0),0)</f>
        <v>0</v>
      </c>
      <c r="AR76" s="12">
        <f t="shared" ref="AR76" si="1367">IF($H76*K76&gt;150000,ROUNDDOWN(($H76*K76-150000)*6%*45%,0),0)</f>
        <v>0</v>
      </c>
      <c r="AS76" s="12">
        <f t="shared" ref="AS76" si="1368">IF($H76*L76&gt;150000,ROUNDDOWN(($H76*L76-150000)*6%*45%,0),0)</f>
        <v>0</v>
      </c>
      <c r="AT76" s="12">
        <f t="shared" ref="AT76" si="1369">IF($H76*M76&gt;150000,ROUNDDOWN(($H76*M76-150000)*6%*45%,0),0)</f>
        <v>0</v>
      </c>
      <c r="AU76" s="12">
        <f t="shared" ref="AU76" si="1370">IF($H76*N76&gt;150000,ROUNDDOWN(($H76*N76-150000)*6%*45%,0),0)</f>
        <v>0</v>
      </c>
      <c r="AV76" s="12">
        <f t="shared" ref="AV76" si="1371">IF($H76*O76&gt;150000,ROUNDDOWN(($H76*O76-150000)*6%*45%,0),0)</f>
        <v>0</v>
      </c>
      <c r="AW76" s="12">
        <f t="shared" ref="AW76" si="1372">IF($H76*P76&gt;150000,ROUNDDOWN(($H76*P76-150000)*6%*45%,0),0)</f>
        <v>0</v>
      </c>
      <c r="AX76" s="12">
        <f t="shared" ref="AX76" si="1373">IF($H76*Q76&gt;150000,ROUNDDOWN(($H76*Q76-150000)*6%*45%,0),0)</f>
        <v>0</v>
      </c>
      <c r="AY76" s="12">
        <f t="shared" ref="AY76" si="1374">IF($H76*R76&gt;150000,ROUNDDOWN(($H76*R76-150000)*6%*45%,0),0)</f>
        <v>0</v>
      </c>
      <c r="AZ76" s="12">
        <f t="shared" ref="AZ76" si="1375">IF($H76*S76&gt;150000,ROUNDDOWN(($H76*S76-150000)*6%*45%,0),0)</f>
        <v>0</v>
      </c>
      <c r="BA76" s="12">
        <f t="shared" ref="BA76" si="1376">IF($H76*T76&gt;150000,ROUNDDOWN(($H76*T76-150000)*6%*45%,0),0)</f>
        <v>0</v>
      </c>
      <c r="BB76" s="12">
        <f t="shared" ref="BB76" si="1377">IF($H76*U76&gt;150000,ROUNDDOWN(($H76*U76-150000)*6%*45%,0),0)</f>
        <v>0</v>
      </c>
      <c r="BC76" s="12">
        <f t="shared" ref="BC76" si="1378">IF($H76*V76&gt;150000,ROUNDDOWN(($H76*V76-150000)*6%*45%,0),0)</f>
        <v>0</v>
      </c>
      <c r="BD76" s="13">
        <f t="shared" ref="BD76" si="1379">IF($H76*W76&gt;150000,ROUNDDOWN(($H76*W76-150000)*6%*45%,0),0)</f>
        <v>0</v>
      </c>
      <c r="BE76" s="14"/>
    </row>
    <row r="77" spans="1:58" x14ac:dyDescent="0.3">
      <c r="A77" s="142"/>
      <c r="B77" s="116"/>
      <c r="C77" s="116"/>
      <c r="D77" s="143"/>
      <c r="E77" s="116"/>
      <c r="F77" s="116"/>
      <c r="G77" s="144"/>
      <c r="H77" s="112"/>
      <c r="I77" s="43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5"/>
      <c r="Y77" s="145"/>
      <c r="Z77" s="116"/>
      <c r="AA77" s="112"/>
      <c r="AB77" s="65">
        <f t="shared" ref="AB77" si="1380">ROUNDDOWN(AB76*10%,-1)</f>
        <v>0</v>
      </c>
      <c r="AC77" s="66">
        <f t="shared" ref="AC77" ca="1" si="1381">IFERROR(IF(AND( OR(COUNTIF(I76:X77, "&gt;0")&gt;=$AJ$1, AA76&gt;=$AJ$4),AN76&lt;60,AA76&lt;=$AH$5),ROUNDDOWN(ROUNDDOWN(AA76,-3)*$AH$4%,-1),IF(AND(COUNTIF(I76:X77,"&gt;0")&gt;=$AJ$1,AN76&lt;60,AA76&gt;$AH$5),$AJ$5,0)),0)</f>
        <v>0</v>
      </c>
      <c r="AD77" s="67">
        <f t="shared" ref="AD77" si="1382">IF(Z76&gt;=$AJ$1,ROUNDDOWN(AD76*$AH$3%/($AH$2*2%),-1),0)</f>
        <v>0</v>
      </c>
      <c r="AE77" s="112"/>
      <c r="AF77" s="112"/>
      <c r="AG77" s="116"/>
      <c r="AH77" s="116"/>
      <c r="AI77" s="116"/>
      <c r="AJ77" s="116"/>
      <c r="AK77" s="149"/>
      <c r="AL77" s="149"/>
      <c r="AM77" s="115"/>
      <c r="AN77" s="113"/>
      <c r="AO77" s="112"/>
      <c r="AP77" s="15">
        <f t="shared" ref="AP77" si="1383">IF($H76*I77&gt;150000,ROUNDDOWN(($H76*I77-150000)*6%*45%,0),0)</f>
        <v>0</v>
      </c>
      <c r="AQ77" s="16">
        <f t="shared" ref="AQ77" si="1384">IF($H76*J77&gt;150000,ROUNDDOWN(($H76*J77-150000)*6%*45%,0),0)</f>
        <v>0</v>
      </c>
      <c r="AR77" s="16">
        <f t="shared" ref="AR77" si="1385">IF($H76*K77&gt;150000,ROUNDDOWN(($H76*K77-150000)*6%*45%,0),0)</f>
        <v>0</v>
      </c>
      <c r="AS77" s="16">
        <f t="shared" ref="AS77" si="1386">IF($H76*L77&gt;150000,ROUNDDOWN(($H76*L77-150000)*6%*45%,0),0)</f>
        <v>0</v>
      </c>
      <c r="AT77" s="16">
        <f t="shared" ref="AT77" si="1387">IF($H76*M77&gt;150000,ROUNDDOWN(($H76*M77-150000)*6%*45%,0),0)</f>
        <v>0</v>
      </c>
      <c r="AU77" s="16">
        <f t="shared" ref="AU77" si="1388">IF($H76*N77&gt;150000,ROUNDDOWN(($H76*N77-150000)*6%*45%,0),0)</f>
        <v>0</v>
      </c>
      <c r="AV77" s="16">
        <f t="shared" ref="AV77" si="1389">IF($H76*O77&gt;150000,ROUNDDOWN(($H76*O77-150000)*6%*45%,0),0)</f>
        <v>0</v>
      </c>
      <c r="AW77" s="16">
        <f t="shared" ref="AW77" si="1390">IF($H76*P77&gt;150000,ROUNDDOWN(($H76*P77-150000)*6%*45%,0),0)</f>
        <v>0</v>
      </c>
      <c r="AX77" s="16">
        <f t="shared" ref="AX77" si="1391">IF($H76*Q77&gt;150000,ROUNDDOWN(($H76*Q77-150000)*6%*45%,0),0)</f>
        <v>0</v>
      </c>
      <c r="AY77" s="16">
        <f t="shared" ref="AY77" si="1392">IF($H76*R77&gt;150000,ROUNDDOWN(($H76*R77-150000)*6%*45%,0),0)</f>
        <v>0</v>
      </c>
      <c r="AZ77" s="16">
        <f t="shared" ref="AZ77" si="1393">IF($H76*S77&gt;150000,ROUNDDOWN(($H76*S77-150000)*6%*45%,0),0)</f>
        <v>0</v>
      </c>
      <c r="BA77" s="16">
        <f t="shared" ref="BA77" si="1394">IF($H76*T77&gt;150000,ROUNDDOWN(($H76*T77-150000)*6%*45%,0),0)</f>
        <v>0</v>
      </c>
      <c r="BB77" s="16">
        <f t="shared" ref="BB77" si="1395">IF($H76*U77&gt;150000,ROUNDDOWN(($H76*U77-150000)*6%*45%,0),0)</f>
        <v>0</v>
      </c>
      <c r="BC77" s="16">
        <f t="shared" ref="BC77" si="1396">IF($H76*V77&gt;150000,ROUNDDOWN(($H76*V77-150000)*6%*45%,0),0)</f>
        <v>0</v>
      </c>
      <c r="BD77" s="16">
        <f t="shared" ref="BD77" si="1397">IF($H76*W77&gt;150000,ROUNDDOWN(($H76*W77-150000)*6%*45%,0),0)</f>
        <v>0</v>
      </c>
      <c r="BE77" s="17">
        <f t="shared" ref="BE77" si="1398">IF($H76*X77&gt;150000,ROUNDDOWN(($H76*X77-150000)*6%*45%,0),0)</f>
        <v>0</v>
      </c>
      <c r="BF77" s="28"/>
    </row>
    <row r="78" spans="1:58" x14ac:dyDescent="0.3">
      <c r="A78" s="142">
        <v>36</v>
      </c>
      <c r="B78" s="116" t="str">
        <f t="shared" ref="B78" si="1399">IF(LEN(D78)&gt;1,IF(VALUE(MID(RIGHT(D78,7),1,1))&gt;4,"외국인",IF(VALUE(RIGHT(11-MOD((MID(D78,1,1)*2+MID(D78,2,1)*3+MID(D78,3,1)*4+MID(D78,4,1)*5+MID(D78,5,1)*6+MID(D78,6,1)*7+MID(RIGHT(D78,7),1,1)*8+MID(RIGHT(D78,7),2,1)*9+MID(RIGHT(D78,7),3,1)*2+MID(RIGHT(D78,7),4,1)*3+MID(RIGHT(D78,7),5,1)*4+MID(RIGHT(D78,7),6,1)*5),11),1))=VALUE(RIGHT(D78,1)),"","오류")),"")</f>
        <v/>
      </c>
      <c r="C78" s="116"/>
      <c r="D78" s="143"/>
      <c r="E78" s="116"/>
      <c r="F78" s="116"/>
      <c r="G78" s="144"/>
      <c r="H78" s="112"/>
      <c r="I78" s="38"/>
      <c r="J78" s="39"/>
      <c r="K78" s="39"/>
      <c r="L78" s="39"/>
      <c r="M78" s="39"/>
      <c r="N78" s="39"/>
      <c r="O78" s="39"/>
      <c r="P78" s="39"/>
      <c r="Q78" s="39"/>
      <c r="R78" s="39"/>
      <c r="S78" s="40"/>
      <c r="T78" s="40"/>
      <c r="U78" s="39"/>
      <c r="V78" s="39"/>
      <c r="W78" s="41"/>
      <c r="X78" s="42"/>
      <c r="Y78" s="145">
        <f>SUM(I78:X79)</f>
        <v>0</v>
      </c>
      <c r="Z78" s="116">
        <f>COUNTIF(I78:X79,"&gt;0")</f>
        <v>0</v>
      </c>
      <c r="AA78" s="112">
        <f t="shared" ref="AA78" si="1400">H78*Y78</f>
        <v>0</v>
      </c>
      <c r="AB78" s="62">
        <f t="shared" ref="AB78" si="1401">IF(AO78&lt;1000, 0, AO78)</f>
        <v>0</v>
      </c>
      <c r="AC78" s="63">
        <f ca="1">IF(IFERROR($AN78&lt;65,FALSE), IF(B78&lt;&gt;"외국인", ROUNDDOWN(AA78*$AH$1%,-1), IF(AND(AM78&lt;&gt;"", ISNUMBER(SEARCH(LEFT(SUBSTITUTE(AM78, "-",""),2), "F2_F5_F6"))), ROUNDDOWN(AA78*$AH$1%,-1), 0)),0)</f>
        <v>0</v>
      </c>
      <c r="AD78" s="64">
        <f t="shared" ref="AD78" si="1402">IF(Z78&gt;=$AJ$1,ROUNDDOWN(AA78*$AH$2%,-1),0)</f>
        <v>0</v>
      </c>
      <c r="AE78" s="112">
        <f t="shared" ref="AE78" ca="1" si="1403">AB78+AC78+AB79+AC79+AD78+AD79</f>
        <v>0</v>
      </c>
      <c r="AF78" s="112">
        <f t="shared" ref="AF78" ca="1" si="1404">AA78-AE78</f>
        <v>0</v>
      </c>
      <c r="AG78" s="116"/>
      <c r="AH78" s="116"/>
      <c r="AI78" s="116"/>
      <c r="AJ78" s="116"/>
      <c r="AK78" s="149"/>
      <c r="AL78" s="149"/>
      <c r="AM78" s="115"/>
      <c r="AN78" s="113" t="str">
        <f t="shared" ref="AN78" ca="1" si="1405">IFERROR(DATEDIF(DATE(IF(ISNUMBER(FIND(MID( SUBSTITUTE(D78, "-",""), 7, 1), "3478")), 2000, 1900)+MID(D78,1,2), MID(D78,3,2), MID(D78,5,2)), TODAY(), "Y"),"")</f>
        <v/>
      </c>
      <c r="AO78" s="112">
        <f>ROUNDDOWN(SUM(AP78:BE79),-1)</f>
        <v>0</v>
      </c>
      <c r="AP78" s="11">
        <f t="shared" ref="AP78" si="1406">IF($H78*I78&gt;150000,ROUNDDOWN(($H78*I78-150000)*6%*45%,0),0)</f>
        <v>0</v>
      </c>
      <c r="AQ78" s="12">
        <f t="shared" ref="AQ78" si="1407">IF($H78*J78&gt;150000,ROUNDDOWN(($H78*J78-150000)*6%*45%,0),0)</f>
        <v>0</v>
      </c>
      <c r="AR78" s="12">
        <f t="shared" ref="AR78" si="1408">IF($H78*K78&gt;150000,ROUNDDOWN(($H78*K78-150000)*6%*45%,0),0)</f>
        <v>0</v>
      </c>
      <c r="AS78" s="12">
        <f t="shared" ref="AS78" si="1409">IF($H78*L78&gt;150000,ROUNDDOWN(($H78*L78-150000)*6%*45%,0),0)</f>
        <v>0</v>
      </c>
      <c r="AT78" s="12">
        <f t="shared" ref="AT78" si="1410">IF($H78*M78&gt;150000,ROUNDDOWN(($H78*M78-150000)*6%*45%,0),0)</f>
        <v>0</v>
      </c>
      <c r="AU78" s="12">
        <f t="shared" ref="AU78" si="1411">IF($H78*N78&gt;150000,ROUNDDOWN(($H78*N78-150000)*6%*45%,0),0)</f>
        <v>0</v>
      </c>
      <c r="AV78" s="12">
        <f t="shared" ref="AV78" si="1412">IF($H78*O78&gt;150000,ROUNDDOWN(($H78*O78-150000)*6%*45%,0),0)</f>
        <v>0</v>
      </c>
      <c r="AW78" s="12">
        <f t="shared" ref="AW78" si="1413">IF($H78*P78&gt;150000,ROUNDDOWN(($H78*P78-150000)*6%*45%,0),0)</f>
        <v>0</v>
      </c>
      <c r="AX78" s="12">
        <f t="shared" ref="AX78" si="1414">IF($H78*Q78&gt;150000,ROUNDDOWN(($H78*Q78-150000)*6%*45%,0),0)</f>
        <v>0</v>
      </c>
      <c r="AY78" s="12">
        <f t="shared" ref="AY78" si="1415">IF($H78*R78&gt;150000,ROUNDDOWN(($H78*R78-150000)*6%*45%,0),0)</f>
        <v>0</v>
      </c>
      <c r="AZ78" s="12">
        <f t="shared" ref="AZ78" si="1416">IF($H78*S78&gt;150000,ROUNDDOWN(($H78*S78-150000)*6%*45%,0),0)</f>
        <v>0</v>
      </c>
      <c r="BA78" s="12">
        <f t="shared" ref="BA78" si="1417">IF($H78*T78&gt;150000,ROUNDDOWN(($H78*T78-150000)*6%*45%,0),0)</f>
        <v>0</v>
      </c>
      <c r="BB78" s="12">
        <f t="shared" ref="BB78" si="1418">IF($H78*U78&gt;150000,ROUNDDOWN(($H78*U78-150000)*6%*45%,0),0)</f>
        <v>0</v>
      </c>
      <c r="BC78" s="12">
        <f t="shared" ref="BC78" si="1419">IF($H78*V78&gt;150000,ROUNDDOWN(($H78*V78-150000)*6%*45%,0),0)</f>
        <v>0</v>
      </c>
      <c r="BD78" s="13">
        <f t="shared" ref="BD78" si="1420">IF($H78*W78&gt;150000,ROUNDDOWN(($H78*W78-150000)*6%*45%,0),0)</f>
        <v>0</v>
      </c>
      <c r="BE78" s="14"/>
    </row>
    <row r="79" spans="1:58" x14ac:dyDescent="0.3">
      <c r="A79" s="142"/>
      <c r="B79" s="116"/>
      <c r="C79" s="116"/>
      <c r="D79" s="143"/>
      <c r="E79" s="116"/>
      <c r="F79" s="116"/>
      <c r="G79" s="144"/>
      <c r="H79" s="112"/>
      <c r="I79" s="43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5"/>
      <c r="Y79" s="145"/>
      <c r="Z79" s="116"/>
      <c r="AA79" s="112"/>
      <c r="AB79" s="65">
        <f t="shared" ref="AB79" si="1421">ROUNDDOWN(AB78*10%,-1)</f>
        <v>0</v>
      </c>
      <c r="AC79" s="66">
        <f t="shared" ref="AC79" ca="1" si="1422">IFERROR(IF(AND( OR(COUNTIF(I78:X79, "&gt;0")&gt;=$AJ$1, AA78&gt;=$AJ$4),AN78&lt;60,AA78&lt;=$AH$5),ROUNDDOWN(ROUNDDOWN(AA78,-3)*$AH$4%,-1),IF(AND(COUNTIF(I78:X79,"&gt;0")&gt;=$AJ$1,AN78&lt;60,AA78&gt;$AH$5),$AJ$5,0)),0)</f>
        <v>0</v>
      </c>
      <c r="AD79" s="67">
        <f t="shared" ref="AD79" si="1423">IF(Z78&gt;=$AJ$1,ROUNDDOWN(AD78*$AH$3%/($AH$2*2%),-1),0)</f>
        <v>0</v>
      </c>
      <c r="AE79" s="112"/>
      <c r="AF79" s="112"/>
      <c r="AG79" s="116"/>
      <c r="AH79" s="116"/>
      <c r="AI79" s="116"/>
      <c r="AJ79" s="116"/>
      <c r="AK79" s="149"/>
      <c r="AL79" s="149"/>
      <c r="AM79" s="115"/>
      <c r="AN79" s="113"/>
      <c r="AO79" s="112"/>
      <c r="AP79" s="15">
        <f t="shared" ref="AP79" si="1424">IF($H78*I79&gt;150000,ROUNDDOWN(($H78*I79-150000)*6%*45%,0),0)</f>
        <v>0</v>
      </c>
      <c r="AQ79" s="16">
        <f t="shared" ref="AQ79" si="1425">IF($H78*J79&gt;150000,ROUNDDOWN(($H78*J79-150000)*6%*45%,0),0)</f>
        <v>0</v>
      </c>
      <c r="AR79" s="16">
        <f t="shared" ref="AR79" si="1426">IF($H78*K79&gt;150000,ROUNDDOWN(($H78*K79-150000)*6%*45%,0),0)</f>
        <v>0</v>
      </c>
      <c r="AS79" s="16">
        <f t="shared" ref="AS79" si="1427">IF($H78*L79&gt;150000,ROUNDDOWN(($H78*L79-150000)*6%*45%,0),0)</f>
        <v>0</v>
      </c>
      <c r="AT79" s="16">
        <f t="shared" ref="AT79" si="1428">IF($H78*M79&gt;150000,ROUNDDOWN(($H78*M79-150000)*6%*45%,0),0)</f>
        <v>0</v>
      </c>
      <c r="AU79" s="16">
        <f t="shared" ref="AU79" si="1429">IF($H78*N79&gt;150000,ROUNDDOWN(($H78*N79-150000)*6%*45%,0),0)</f>
        <v>0</v>
      </c>
      <c r="AV79" s="16">
        <f t="shared" ref="AV79" si="1430">IF($H78*O79&gt;150000,ROUNDDOWN(($H78*O79-150000)*6%*45%,0),0)</f>
        <v>0</v>
      </c>
      <c r="AW79" s="16">
        <f t="shared" ref="AW79" si="1431">IF($H78*P79&gt;150000,ROUNDDOWN(($H78*P79-150000)*6%*45%,0),0)</f>
        <v>0</v>
      </c>
      <c r="AX79" s="16">
        <f t="shared" ref="AX79" si="1432">IF($H78*Q79&gt;150000,ROUNDDOWN(($H78*Q79-150000)*6%*45%,0),0)</f>
        <v>0</v>
      </c>
      <c r="AY79" s="16">
        <f t="shared" ref="AY79" si="1433">IF($H78*R79&gt;150000,ROUNDDOWN(($H78*R79-150000)*6%*45%,0),0)</f>
        <v>0</v>
      </c>
      <c r="AZ79" s="16">
        <f t="shared" ref="AZ79" si="1434">IF($H78*S79&gt;150000,ROUNDDOWN(($H78*S79-150000)*6%*45%,0),0)</f>
        <v>0</v>
      </c>
      <c r="BA79" s="16">
        <f t="shared" ref="BA79" si="1435">IF($H78*T79&gt;150000,ROUNDDOWN(($H78*T79-150000)*6%*45%,0),0)</f>
        <v>0</v>
      </c>
      <c r="BB79" s="16">
        <f t="shared" ref="BB79" si="1436">IF($H78*U79&gt;150000,ROUNDDOWN(($H78*U79-150000)*6%*45%,0),0)</f>
        <v>0</v>
      </c>
      <c r="BC79" s="16">
        <f t="shared" ref="BC79" si="1437">IF($H78*V79&gt;150000,ROUNDDOWN(($H78*V79-150000)*6%*45%,0),0)</f>
        <v>0</v>
      </c>
      <c r="BD79" s="16">
        <f t="shared" ref="BD79" si="1438">IF($H78*W79&gt;150000,ROUNDDOWN(($H78*W79-150000)*6%*45%,0),0)</f>
        <v>0</v>
      </c>
      <c r="BE79" s="17">
        <f t="shared" ref="BE79" si="1439">IF($H78*X79&gt;150000,ROUNDDOWN(($H78*X79-150000)*6%*45%,0),0)</f>
        <v>0</v>
      </c>
      <c r="BF79" s="28"/>
    </row>
    <row r="80" spans="1:58" x14ac:dyDescent="0.3">
      <c r="A80" s="142">
        <v>37</v>
      </c>
      <c r="B80" s="116" t="str">
        <f t="shared" ref="B80" si="1440">IF(LEN(D80)&gt;1,IF(VALUE(MID(RIGHT(D80,7),1,1))&gt;4,"외국인",IF(VALUE(RIGHT(11-MOD((MID(D80,1,1)*2+MID(D80,2,1)*3+MID(D80,3,1)*4+MID(D80,4,1)*5+MID(D80,5,1)*6+MID(D80,6,1)*7+MID(RIGHT(D80,7),1,1)*8+MID(RIGHT(D80,7),2,1)*9+MID(RIGHT(D80,7),3,1)*2+MID(RIGHT(D80,7),4,1)*3+MID(RIGHT(D80,7),5,1)*4+MID(RIGHT(D80,7),6,1)*5),11),1))=VALUE(RIGHT(D80,1)),"","오류")),"")</f>
        <v/>
      </c>
      <c r="C80" s="116"/>
      <c r="D80" s="143"/>
      <c r="E80" s="116"/>
      <c r="F80" s="116"/>
      <c r="G80" s="144"/>
      <c r="H80" s="112"/>
      <c r="I80" s="38"/>
      <c r="J80" s="39"/>
      <c r="K80" s="39"/>
      <c r="L80" s="39"/>
      <c r="M80" s="39"/>
      <c r="N80" s="39"/>
      <c r="O80" s="39"/>
      <c r="P80" s="39"/>
      <c r="Q80" s="39"/>
      <c r="R80" s="39"/>
      <c r="S80" s="40"/>
      <c r="T80" s="40"/>
      <c r="U80" s="39"/>
      <c r="V80" s="39"/>
      <c r="W80" s="41"/>
      <c r="X80" s="42"/>
      <c r="Y80" s="145">
        <f>SUM(I80:X81)</f>
        <v>0</v>
      </c>
      <c r="Z80" s="116">
        <f>COUNTIF(I80:X81,"&gt;0")</f>
        <v>0</v>
      </c>
      <c r="AA80" s="112">
        <f t="shared" ref="AA80" si="1441">H80*Y80</f>
        <v>0</v>
      </c>
      <c r="AB80" s="62">
        <f t="shared" ref="AB80" si="1442">IF(AO80&lt;1000, 0, AO80)</f>
        <v>0</v>
      </c>
      <c r="AC80" s="63">
        <f ca="1">IF(IFERROR($AN80&lt;65,FALSE), IF(B80&lt;&gt;"외국인", ROUNDDOWN(AA80*$AH$1%,-1), IF(AND(AM80&lt;&gt;"", ISNUMBER(SEARCH(LEFT(SUBSTITUTE(AM80, "-",""),2), "F2_F5_F6"))), ROUNDDOWN(AA80*$AH$1%,-1), 0)),0)</f>
        <v>0</v>
      </c>
      <c r="AD80" s="64">
        <f t="shared" ref="AD80" si="1443">IF(Z80&gt;=$AJ$1,ROUNDDOWN(AA80*$AH$2%,-1),0)</f>
        <v>0</v>
      </c>
      <c r="AE80" s="112">
        <f t="shared" ref="AE80" ca="1" si="1444">AB80+AC80+AB81+AC81+AD80+AD81</f>
        <v>0</v>
      </c>
      <c r="AF80" s="112">
        <f t="shared" ref="AF80" ca="1" si="1445">AA80-AE80</f>
        <v>0</v>
      </c>
      <c r="AG80" s="116"/>
      <c r="AH80" s="116"/>
      <c r="AI80" s="116"/>
      <c r="AJ80" s="116"/>
      <c r="AK80" s="149"/>
      <c r="AL80" s="149"/>
      <c r="AM80" s="115"/>
      <c r="AN80" s="113" t="str">
        <f t="shared" ref="AN80" ca="1" si="1446">IFERROR(DATEDIF(DATE(IF(ISNUMBER(FIND(MID( SUBSTITUTE(D80, "-",""), 7, 1), "3478")), 2000, 1900)+MID(D80,1,2), MID(D80,3,2), MID(D80,5,2)), TODAY(), "Y"),"")</f>
        <v/>
      </c>
      <c r="AO80" s="112">
        <f>ROUNDDOWN(SUM(AP80:BE81),-1)</f>
        <v>0</v>
      </c>
      <c r="AP80" s="11">
        <f t="shared" ref="AP80" si="1447">IF($H80*I80&gt;150000,ROUNDDOWN(($H80*I80-150000)*6%*45%,0),0)</f>
        <v>0</v>
      </c>
      <c r="AQ80" s="12">
        <f t="shared" ref="AQ80" si="1448">IF($H80*J80&gt;150000,ROUNDDOWN(($H80*J80-150000)*6%*45%,0),0)</f>
        <v>0</v>
      </c>
      <c r="AR80" s="12">
        <f t="shared" ref="AR80" si="1449">IF($H80*K80&gt;150000,ROUNDDOWN(($H80*K80-150000)*6%*45%,0),0)</f>
        <v>0</v>
      </c>
      <c r="AS80" s="12">
        <f t="shared" ref="AS80" si="1450">IF($H80*L80&gt;150000,ROUNDDOWN(($H80*L80-150000)*6%*45%,0),0)</f>
        <v>0</v>
      </c>
      <c r="AT80" s="12">
        <f t="shared" ref="AT80" si="1451">IF($H80*M80&gt;150000,ROUNDDOWN(($H80*M80-150000)*6%*45%,0),0)</f>
        <v>0</v>
      </c>
      <c r="AU80" s="12">
        <f t="shared" ref="AU80" si="1452">IF($H80*N80&gt;150000,ROUNDDOWN(($H80*N80-150000)*6%*45%,0),0)</f>
        <v>0</v>
      </c>
      <c r="AV80" s="12">
        <f t="shared" ref="AV80" si="1453">IF($H80*O80&gt;150000,ROUNDDOWN(($H80*O80-150000)*6%*45%,0),0)</f>
        <v>0</v>
      </c>
      <c r="AW80" s="12">
        <f t="shared" ref="AW80" si="1454">IF($H80*P80&gt;150000,ROUNDDOWN(($H80*P80-150000)*6%*45%,0),0)</f>
        <v>0</v>
      </c>
      <c r="AX80" s="12">
        <f t="shared" ref="AX80" si="1455">IF($H80*Q80&gt;150000,ROUNDDOWN(($H80*Q80-150000)*6%*45%,0),0)</f>
        <v>0</v>
      </c>
      <c r="AY80" s="12">
        <f t="shared" ref="AY80" si="1456">IF($H80*R80&gt;150000,ROUNDDOWN(($H80*R80-150000)*6%*45%,0),0)</f>
        <v>0</v>
      </c>
      <c r="AZ80" s="12">
        <f t="shared" ref="AZ80" si="1457">IF($H80*S80&gt;150000,ROUNDDOWN(($H80*S80-150000)*6%*45%,0),0)</f>
        <v>0</v>
      </c>
      <c r="BA80" s="12">
        <f t="shared" ref="BA80" si="1458">IF($H80*T80&gt;150000,ROUNDDOWN(($H80*T80-150000)*6%*45%,0),0)</f>
        <v>0</v>
      </c>
      <c r="BB80" s="12">
        <f t="shared" ref="BB80" si="1459">IF($H80*U80&gt;150000,ROUNDDOWN(($H80*U80-150000)*6%*45%,0),0)</f>
        <v>0</v>
      </c>
      <c r="BC80" s="12">
        <f t="shared" ref="BC80" si="1460">IF($H80*V80&gt;150000,ROUNDDOWN(($H80*V80-150000)*6%*45%,0),0)</f>
        <v>0</v>
      </c>
      <c r="BD80" s="13">
        <f t="shared" ref="BD80" si="1461">IF($H80*W80&gt;150000,ROUNDDOWN(($H80*W80-150000)*6%*45%,0),0)</f>
        <v>0</v>
      </c>
      <c r="BE80" s="14"/>
    </row>
    <row r="81" spans="1:58" x14ac:dyDescent="0.3">
      <c r="A81" s="142"/>
      <c r="B81" s="116"/>
      <c r="C81" s="116"/>
      <c r="D81" s="143"/>
      <c r="E81" s="116"/>
      <c r="F81" s="116"/>
      <c r="G81" s="144"/>
      <c r="H81" s="112"/>
      <c r="I81" s="43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5"/>
      <c r="Y81" s="145"/>
      <c r="Z81" s="116"/>
      <c r="AA81" s="112"/>
      <c r="AB81" s="65">
        <f t="shared" ref="AB81" si="1462">ROUNDDOWN(AB80*10%,-1)</f>
        <v>0</v>
      </c>
      <c r="AC81" s="66">
        <f t="shared" ref="AC81" ca="1" si="1463">IFERROR(IF(AND( OR(COUNTIF(I80:X81, "&gt;0")&gt;=$AJ$1, AA80&gt;=$AJ$4),AN80&lt;60,AA80&lt;=$AH$5),ROUNDDOWN(ROUNDDOWN(AA80,-3)*$AH$4%,-1),IF(AND(COUNTIF(I80:X81,"&gt;0")&gt;=$AJ$1,AN80&lt;60,AA80&gt;$AH$5),$AJ$5,0)),0)</f>
        <v>0</v>
      </c>
      <c r="AD81" s="67">
        <f t="shared" ref="AD81" si="1464">IF(Z80&gt;=$AJ$1,ROUNDDOWN(AD80*$AH$3%/($AH$2*2%),-1),0)</f>
        <v>0</v>
      </c>
      <c r="AE81" s="112"/>
      <c r="AF81" s="112"/>
      <c r="AG81" s="116"/>
      <c r="AH81" s="116"/>
      <c r="AI81" s="116"/>
      <c r="AJ81" s="116"/>
      <c r="AK81" s="149"/>
      <c r="AL81" s="149"/>
      <c r="AM81" s="115"/>
      <c r="AN81" s="113"/>
      <c r="AO81" s="112"/>
      <c r="AP81" s="15">
        <f t="shared" ref="AP81" si="1465">IF($H80*I81&gt;150000,ROUNDDOWN(($H80*I81-150000)*6%*45%,0),0)</f>
        <v>0</v>
      </c>
      <c r="AQ81" s="16">
        <f t="shared" ref="AQ81" si="1466">IF($H80*J81&gt;150000,ROUNDDOWN(($H80*J81-150000)*6%*45%,0),0)</f>
        <v>0</v>
      </c>
      <c r="AR81" s="16">
        <f t="shared" ref="AR81" si="1467">IF($H80*K81&gt;150000,ROUNDDOWN(($H80*K81-150000)*6%*45%,0),0)</f>
        <v>0</v>
      </c>
      <c r="AS81" s="16">
        <f t="shared" ref="AS81" si="1468">IF($H80*L81&gt;150000,ROUNDDOWN(($H80*L81-150000)*6%*45%,0),0)</f>
        <v>0</v>
      </c>
      <c r="AT81" s="16">
        <f t="shared" ref="AT81" si="1469">IF($H80*M81&gt;150000,ROUNDDOWN(($H80*M81-150000)*6%*45%,0),0)</f>
        <v>0</v>
      </c>
      <c r="AU81" s="16">
        <f t="shared" ref="AU81" si="1470">IF($H80*N81&gt;150000,ROUNDDOWN(($H80*N81-150000)*6%*45%,0),0)</f>
        <v>0</v>
      </c>
      <c r="AV81" s="16">
        <f t="shared" ref="AV81" si="1471">IF($H80*O81&gt;150000,ROUNDDOWN(($H80*O81-150000)*6%*45%,0),0)</f>
        <v>0</v>
      </c>
      <c r="AW81" s="16">
        <f t="shared" ref="AW81" si="1472">IF($H80*P81&gt;150000,ROUNDDOWN(($H80*P81-150000)*6%*45%,0),0)</f>
        <v>0</v>
      </c>
      <c r="AX81" s="16">
        <f t="shared" ref="AX81" si="1473">IF($H80*Q81&gt;150000,ROUNDDOWN(($H80*Q81-150000)*6%*45%,0),0)</f>
        <v>0</v>
      </c>
      <c r="AY81" s="16">
        <f t="shared" ref="AY81" si="1474">IF($H80*R81&gt;150000,ROUNDDOWN(($H80*R81-150000)*6%*45%,0),0)</f>
        <v>0</v>
      </c>
      <c r="AZ81" s="16">
        <f t="shared" ref="AZ81" si="1475">IF($H80*S81&gt;150000,ROUNDDOWN(($H80*S81-150000)*6%*45%,0),0)</f>
        <v>0</v>
      </c>
      <c r="BA81" s="16">
        <f t="shared" ref="BA81" si="1476">IF($H80*T81&gt;150000,ROUNDDOWN(($H80*T81-150000)*6%*45%,0),0)</f>
        <v>0</v>
      </c>
      <c r="BB81" s="16">
        <f t="shared" ref="BB81" si="1477">IF($H80*U81&gt;150000,ROUNDDOWN(($H80*U81-150000)*6%*45%,0),0)</f>
        <v>0</v>
      </c>
      <c r="BC81" s="16">
        <f t="shared" ref="BC81" si="1478">IF($H80*V81&gt;150000,ROUNDDOWN(($H80*V81-150000)*6%*45%,0),0)</f>
        <v>0</v>
      </c>
      <c r="BD81" s="16">
        <f t="shared" ref="BD81" si="1479">IF($H80*W81&gt;150000,ROUNDDOWN(($H80*W81-150000)*6%*45%,0),0)</f>
        <v>0</v>
      </c>
      <c r="BE81" s="17">
        <f t="shared" ref="BE81" si="1480">IF($H80*X81&gt;150000,ROUNDDOWN(($H80*X81-150000)*6%*45%,0),0)</f>
        <v>0</v>
      </c>
      <c r="BF81" s="28"/>
    </row>
    <row r="82" spans="1:58" x14ac:dyDescent="0.3">
      <c r="A82" s="142">
        <v>38</v>
      </c>
      <c r="B82" s="116" t="str">
        <f t="shared" ref="B82" si="1481">IF(LEN(D82)&gt;1,IF(VALUE(MID(RIGHT(D82,7),1,1))&gt;4,"외국인",IF(VALUE(RIGHT(11-MOD((MID(D82,1,1)*2+MID(D82,2,1)*3+MID(D82,3,1)*4+MID(D82,4,1)*5+MID(D82,5,1)*6+MID(D82,6,1)*7+MID(RIGHT(D82,7),1,1)*8+MID(RIGHT(D82,7),2,1)*9+MID(RIGHT(D82,7),3,1)*2+MID(RIGHT(D82,7),4,1)*3+MID(RIGHT(D82,7),5,1)*4+MID(RIGHT(D82,7),6,1)*5),11),1))=VALUE(RIGHT(D82,1)),"","오류")),"")</f>
        <v/>
      </c>
      <c r="C82" s="116"/>
      <c r="D82" s="143"/>
      <c r="E82" s="116"/>
      <c r="F82" s="116"/>
      <c r="G82" s="144"/>
      <c r="H82" s="112"/>
      <c r="I82" s="38"/>
      <c r="J82" s="39"/>
      <c r="K82" s="39"/>
      <c r="L82" s="39"/>
      <c r="M82" s="39"/>
      <c r="N82" s="39"/>
      <c r="O82" s="39"/>
      <c r="P82" s="39"/>
      <c r="Q82" s="39"/>
      <c r="R82" s="39"/>
      <c r="S82" s="40"/>
      <c r="T82" s="40"/>
      <c r="U82" s="39"/>
      <c r="V82" s="39"/>
      <c r="W82" s="41"/>
      <c r="X82" s="42"/>
      <c r="Y82" s="145">
        <f>SUM(I82:X83)</f>
        <v>0</v>
      </c>
      <c r="Z82" s="116">
        <f>COUNTIF(I82:X83,"&gt;0")</f>
        <v>0</v>
      </c>
      <c r="AA82" s="112">
        <f t="shared" ref="AA82" si="1482">H82*Y82</f>
        <v>0</v>
      </c>
      <c r="AB82" s="62">
        <f t="shared" ref="AB82" si="1483">IF(AO82&lt;1000, 0, AO82)</f>
        <v>0</v>
      </c>
      <c r="AC82" s="63">
        <f ca="1">IF(IFERROR($AN82&lt;65,FALSE), IF(B82&lt;&gt;"외국인", ROUNDDOWN(AA82*$AH$1%,-1), IF(AND(AM82&lt;&gt;"", ISNUMBER(SEARCH(LEFT(SUBSTITUTE(AM82, "-",""),2), "F2_F5_F6"))), ROUNDDOWN(AA82*$AH$1%,-1), 0)),0)</f>
        <v>0</v>
      </c>
      <c r="AD82" s="64">
        <f t="shared" ref="AD82" si="1484">IF(Z82&gt;=$AJ$1,ROUNDDOWN(AA82*$AH$2%,-1),0)</f>
        <v>0</v>
      </c>
      <c r="AE82" s="112">
        <f t="shared" ref="AE82" ca="1" si="1485">AB82+AC82+AB83+AC83+AD82+AD83</f>
        <v>0</v>
      </c>
      <c r="AF82" s="112">
        <f t="shared" ref="AF82" ca="1" si="1486">AA82-AE82</f>
        <v>0</v>
      </c>
      <c r="AG82" s="116"/>
      <c r="AH82" s="116"/>
      <c r="AI82" s="116"/>
      <c r="AJ82" s="116"/>
      <c r="AK82" s="149"/>
      <c r="AL82" s="149"/>
      <c r="AM82" s="115"/>
      <c r="AN82" s="113" t="str">
        <f t="shared" ref="AN82" ca="1" si="1487">IFERROR(DATEDIF(DATE(IF(ISNUMBER(FIND(MID( SUBSTITUTE(D82, "-",""), 7, 1), "3478")), 2000, 1900)+MID(D82,1,2), MID(D82,3,2), MID(D82,5,2)), TODAY(), "Y"),"")</f>
        <v/>
      </c>
      <c r="AO82" s="112">
        <f>ROUNDDOWN(SUM(AP82:BE83),-1)</f>
        <v>0</v>
      </c>
      <c r="AP82" s="11">
        <f t="shared" ref="AP82" si="1488">IF($H82*I82&gt;150000,ROUNDDOWN(($H82*I82-150000)*6%*45%,0),0)</f>
        <v>0</v>
      </c>
      <c r="AQ82" s="12">
        <f t="shared" ref="AQ82" si="1489">IF($H82*J82&gt;150000,ROUNDDOWN(($H82*J82-150000)*6%*45%,0),0)</f>
        <v>0</v>
      </c>
      <c r="AR82" s="12">
        <f t="shared" ref="AR82" si="1490">IF($H82*K82&gt;150000,ROUNDDOWN(($H82*K82-150000)*6%*45%,0),0)</f>
        <v>0</v>
      </c>
      <c r="AS82" s="12">
        <f t="shared" ref="AS82" si="1491">IF($H82*L82&gt;150000,ROUNDDOWN(($H82*L82-150000)*6%*45%,0),0)</f>
        <v>0</v>
      </c>
      <c r="AT82" s="12">
        <f t="shared" ref="AT82" si="1492">IF($H82*M82&gt;150000,ROUNDDOWN(($H82*M82-150000)*6%*45%,0),0)</f>
        <v>0</v>
      </c>
      <c r="AU82" s="12">
        <f t="shared" ref="AU82" si="1493">IF($H82*N82&gt;150000,ROUNDDOWN(($H82*N82-150000)*6%*45%,0),0)</f>
        <v>0</v>
      </c>
      <c r="AV82" s="12">
        <f t="shared" ref="AV82" si="1494">IF($H82*O82&gt;150000,ROUNDDOWN(($H82*O82-150000)*6%*45%,0),0)</f>
        <v>0</v>
      </c>
      <c r="AW82" s="12">
        <f t="shared" ref="AW82" si="1495">IF($H82*P82&gt;150000,ROUNDDOWN(($H82*P82-150000)*6%*45%,0),0)</f>
        <v>0</v>
      </c>
      <c r="AX82" s="12">
        <f t="shared" ref="AX82" si="1496">IF($H82*Q82&gt;150000,ROUNDDOWN(($H82*Q82-150000)*6%*45%,0),0)</f>
        <v>0</v>
      </c>
      <c r="AY82" s="12">
        <f t="shared" ref="AY82" si="1497">IF($H82*R82&gt;150000,ROUNDDOWN(($H82*R82-150000)*6%*45%,0),0)</f>
        <v>0</v>
      </c>
      <c r="AZ82" s="12">
        <f t="shared" ref="AZ82" si="1498">IF($H82*S82&gt;150000,ROUNDDOWN(($H82*S82-150000)*6%*45%,0),0)</f>
        <v>0</v>
      </c>
      <c r="BA82" s="12">
        <f t="shared" ref="BA82" si="1499">IF($H82*T82&gt;150000,ROUNDDOWN(($H82*T82-150000)*6%*45%,0),0)</f>
        <v>0</v>
      </c>
      <c r="BB82" s="12">
        <f t="shared" ref="BB82" si="1500">IF($H82*U82&gt;150000,ROUNDDOWN(($H82*U82-150000)*6%*45%,0),0)</f>
        <v>0</v>
      </c>
      <c r="BC82" s="12">
        <f t="shared" ref="BC82" si="1501">IF($H82*V82&gt;150000,ROUNDDOWN(($H82*V82-150000)*6%*45%,0),0)</f>
        <v>0</v>
      </c>
      <c r="BD82" s="13">
        <f t="shared" ref="BD82" si="1502">IF($H82*W82&gt;150000,ROUNDDOWN(($H82*W82-150000)*6%*45%,0),0)</f>
        <v>0</v>
      </c>
      <c r="BE82" s="14"/>
    </row>
    <row r="83" spans="1:58" x14ac:dyDescent="0.3">
      <c r="A83" s="142"/>
      <c r="B83" s="116"/>
      <c r="C83" s="116"/>
      <c r="D83" s="143"/>
      <c r="E83" s="116"/>
      <c r="F83" s="116"/>
      <c r="G83" s="144"/>
      <c r="H83" s="112"/>
      <c r="I83" s="43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5"/>
      <c r="Y83" s="145"/>
      <c r="Z83" s="116"/>
      <c r="AA83" s="112"/>
      <c r="AB83" s="65">
        <f t="shared" ref="AB83" si="1503">ROUNDDOWN(AB82*10%,-1)</f>
        <v>0</v>
      </c>
      <c r="AC83" s="66">
        <f t="shared" ref="AC83" ca="1" si="1504">IFERROR(IF(AND( OR(COUNTIF(I82:X83, "&gt;0")&gt;=$AJ$1, AA82&gt;=$AJ$4),AN82&lt;60,AA82&lt;=$AH$5),ROUNDDOWN(ROUNDDOWN(AA82,-3)*$AH$4%,-1),IF(AND(COUNTIF(I82:X83,"&gt;0")&gt;=$AJ$1,AN82&lt;60,AA82&gt;$AH$5),$AJ$5,0)),0)</f>
        <v>0</v>
      </c>
      <c r="AD83" s="67">
        <f t="shared" ref="AD83" si="1505">IF(Z82&gt;=$AJ$1,ROUNDDOWN(AD82*$AH$3%/($AH$2*2%),-1),0)</f>
        <v>0</v>
      </c>
      <c r="AE83" s="112"/>
      <c r="AF83" s="112"/>
      <c r="AG83" s="116"/>
      <c r="AH83" s="116"/>
      <c r="AI83" s="116"/>
      <c r="AJ83" s="116"/>
      <c r="AK83" s="149"/>
      <c r="AL83" s="149"/>
      <c r="AM83" s="115"/>
      <c r="AN83" s="113"/>
      <c r="AO83" s="112"/>
      <c r="AP83" s="15">
        <f t="shared" ref="AP83" si="1506">IF($H82*I83&gt;150000,ROUNDDOWN(($H82*I83-150000)*6%*45%,0),0)</f>
        <v>0</v>
      </c>
      <c r="AQ83" s="16">
        <f t="shared" ref="AQ83" si="1507">IF($H82*J83&gt;150000,ROUNDDOWN(($H82*J83-150000)*6%*45%,0),0)</f>
        <v>0</v>
      </c>
      <c r="AR83" s="16">
        <f t="shared" ref="AR83" si="1508">IF($H82*K83&gt;150000,ROUNDDOWN(($H82*K83-150000)*6%*45%,0),0)</f>
        <v>0</v>
      </c>
      <c r="AS83" s="16">
        <f t="shared" ref="AS83" si="1509">IF($H82*L83&gt;150000,ROUNDDOWN(($H82*L83-150000)*6%*45%,0),0)</f>
        <v>0</v>
      </c>
      <c r="AT83" s="16">
        <f t="shared" ref="AT83" si="1510">IF($H82*M83&gt;150000,ROUNDDOWN(($H82*M83-150000)*6%*45%,0),0)</f>
        <v>0</v>
      </c>
      <c r="AU83" s="16">
        <f t="shared" ref="AU83" si="1511">IF($H82*N83&gt;150000,ROUNDDOWN(($H82*N83-150000)*6%*45%,0),0)</f>
        <v>0</v>
      </c>
      <c r="AV83" s="16">
        <f t="shared" ref="AV83" si="1512">IF($H82*O83&gt;150000,ROUNDDOWN(($H82*O83-150000)*6%*45%,0),0)</f>
        <v>0</v>
      </c>
      <c r="AW83" s="16">
        <f t="shared" ref="AW83" si="1513">IF($H82*P83&gt;150000,ROUNDDOWN(($H82*P83-150000)*6%*45%,0),0)</f>
        <v>0</v>
      </c>
      <c r="AX83" s="16">
        <f t="shared" ref="AX83" si="1514">IF($H82*Q83&gt;150000,ROUNDDOWN(($H82*Q83-150000)*6%*45%,0),0)</f>
        <v>0</v>
      </c>
      <c r="AY83" s="16">
        <f t="shared" ref="AY83" si="1515">IF($H82*R83&gt;150000,ROUNDDOWN(($H82*R83-150000)*6%*45%,0),0)</f>
        <v>0</v>
      </c>
      <c r="AZ83" s="16">
        <f t="shared" ref="AZ83" si="1516">IF($H82*S83&gt;150000,ROUNDDOWN(($H82*S83-150000)*6%*45%,0),0)</f>
        <v>0</v>
      </c>
      <c r="BA83" s="16">
        <f t="shared" ref="BA83" si="1517">IF($H82*T83&gt;150000,ROUNDDOWN(($H82*T83-150000)*6%*45%,0),0)</f>
        <v>0</v>
      </c>
      <c r="BB83" s="16">
        <f t="shared" ref="BB83" si="1518">IF($H82*U83&gt;150000,ROUNDDOWN(($H82*U83-150000)*6%*45%,0),0)</f>
        <v>0</v>
      </c>
      <c r="BC83" s="16">
        <f t="shared" ref="BC83" si="1519">IF($H82*V83&gt;150000,ROUNDDOWN(($H82*V83-150000)*6%*45%,0),0)</f>
        <v>0</v>
      </c>
      <c r="BD83" s="16">
        <f t="shared" ref="BD83" si="1520">IF($H82*W83&gt;150000,ROUNDDOWN(($H82*W83-150000)*6%*45%,0),0)</f>
        <v>0</v>
      </c>
      <c r="BE83" s="17">
        <f t="shared" ref="BE83" si="1521">IF($H82*X83&gt;150000,ROUNDDOWN(($H82*X83-150000)*6%*45%,0),0)</f>
        <v>0</v>
      </c>
      <c r="BF83" s="28"/>
    </row>
    <row r="84" spans="1:58" x14ac:dyDescent="0.3">
      <c r="A84" s="142">
        <v>39</v>
      </c>
      <c r="B84" s="116" t="str">
        <f t="shared" ref="B84" si="1522">IF(LEN(D84)&gt;1,IF(VALUE(MID(RIGHT(D84,7),1,1))&gt;4,"외국인",IF(VALUE(RIGHT(11-MOD((MID(D84,1,1)*2+MID(D84,2,1)*3+MID(D84,3,1)*4+MID(D84,4,1)*5+MID(D84,5,1)*6+MID(D84,6,1)*7+MID(RIGHT(D84,7),1,1)*8+MID(RIGHT(D84,7),2,1)*9+MID(RIGHT(D84,7),3,1)*2+MID(RIGHT(D84,7),4,1)*3+MID(RIGHT(D84,7),5,1)*4+MID(RIGHT(D84,7),6,1)*5),11),1))=VALUE(RIGHT(D84,1)),"","오류")),"")</f>
        <v/>
      </c>
      <c r="C84" s="116"/>
      <c r="D84" s="143"/>
      <c r="E84" s="116"/>
      <c r="F84" s="116"/>
      <c r="G84" s="144"/>
      <c r="H84" s="112"/>
      <c r="I84" s="38"/>
      <c r="J84" s="39"/>
      <c r="K84" s="39"/>
      <c r="L84" s="39"/>
      <c r="M84" s="39"/>
      <c r="N84" s="39"/>
      <c r="O84" s="39"/>
      <c r="P84" s="39"/>
      <c r="Q84" s="39"/>
      <c r="R84" s="39"/>
      <c r="S84" s="40"/>
      <c r="T84" s="40"/>
      <c r="U84" s="39"/>
      <c r="V84" s="39"/>
      <c r="W84" s="41"/>
      <c r="X84" s="42"/>
      <c r="Y84" s="145">
        <f>SUM(I84:X85)</f>
        <v>0</v>
      </c>
      <c r="Z84" s="116">
        <f>COUNTIF(I84:X85,"&gt;0")</f>
        <v>0</v>
      </c>
      <c r="AA84" s="112">
        <f t="shared" ref="AA84" si="1523">H84*Y84</f>
        <v>0</v>
      </c>
      <c r="AB84" s="62">
        <f t="shared" ref="AB84" si="1524">IF(AO84&lt;1000, 0, AO84)</f>
        <v>0</v>
      </c>
      <c r="AC84" s="63">
        <f ca="1">IF(IFERROR($AN84&lt;65,FALSE), IF(B84&lt;&gt;"외국인", ROUNDDOWN(AA84*$AH$1%,-1), IF(AND(AM84&lt;&gt;"", ISNUMBER(SEARCH(LEFT(SUBSTITUTE(AM84, "-",""),2), "F2_F5_F6"))), ROUNDDOWN(AA84*$AH$1%,-1), 0)),0)</f>
        <v>0</v>
      </c>
      <c r="AD84" s="64">
        <f t="shared" ref="AD84" si="1525">IF(Z84&gt;=$AJ$1,ROUNDDOWN(AA84*$AH$2%,-1),0)</f>
        <v>0</v>
      </c>
      <c r="AE84" s="112">
        <f t="shared" ref="AE84" ca="1" si="1526">AB84+AC84+AB85+AC85+AD84+AD85</f>
        <v>0</v>
      </c>
      <c r="AF84" s="112">
        <f t="shared" ref="AF84" ca="1" si="1527">AA84-AE84</f>
        <v>0</v>
      </c>
      <c r="AG84" s="116"/>
      <c r="AH84" s="116"/>
      <c r="AI84" s="116"/>
      <c r="AJ84" s="116"/>
      <c r="AK84" s="149"/>
      <c r="AL84" s="149"/>
      <c r="AM84" s="115"/>
      <c r="AN84" s="113" t="str">
        <f t="shared" ref="AN84" ca="1" si="1528">IFERROR(DATEDIF(DATE(IF(ISNUMBER(FIND(MID( SUBSTITUTE(D84, "-",""), 7, 1), "3478")), 2000, 1900)+MID(D84,1,2), MID(D84,3,2), MID(D84,5,2)), TODAY(), "Y"),"")</f>
        <v/>
      </c>
      <c r="AO84" s="112">
        <f>ROUNDDOWN(SUM(AP84:BE85),-1)</f>
        <v>0</v>
      </c>
      <c r="AP84" s="11">
        <f t="shared" ref="AP84" si="1529">IF($H84*I84&gt;150000,ROUNDDOWN(($H84*I84-150000)*6%*45%,0),0)</f>
        <v>0</v>
      </c>
      <c r="AQ84" s="12">
        <f t="shared" ref="AQ84" si="1530">IF($H84*J84&gt;150000,ROUNDDOWN(($H84*J84-150000)*6%*45%,0),0)</f>
        <v>0</v>
      </c>
      <c r="AR84" s="12">
        <f t="shared" ref="AR84" si="1531">IF($H84*K84&gt;150000,ROUNDDOWN(($H84*K84-150000)*6%*45%,0),0)</f>
        <v>0</v>
      </c>
      <c r="AS84" s="12">
        <f t="shared" ref="AS84" si="1532">IF($H84*L84&gt;150000,ROUNDDOWN(($H84*L84-150000)*6%*45%,0),0)</f>
        <v>0</v>
      </c>
      <c r="AT84" s="12">
        <f t="shared" ref="AT84" si="1533">IF($H84*M84&gt;150000,ROUNDDOWN(($H84*M84-150000)*6%*45%,0),0)</f>
        <v>0</v>
      </c>
      <c r="AU84" s="12">
        <f t="shared" ref="AU84" si="1534">IF($H84*N84&gt;150000,ROUNDDOWN(($H84*N84-150000)*6%*45%,0),0)</f>
        <v>0</v>
      </c>
      <c r="AV84" s="12">
        <f t="shared" ref="AV84" si="1535">IF($H84*O84&gt;150000,ROUNDDOWN(($H84*O84-150000)*6%*45%,0),0)</f>
        <v>0</v>
      </c>
      <c r="AW84" s="12">
        <f t="shared" ref="AW84" si="1536">IF($H84*P84&gt;150000,ROUNDDOWN(($H84*P84-150000)*6%*45%,0),0)</f>
        <v>0</v>
      </c>
      <c r="AX84" s="12">
        <f t="shared" ref="AX84" si="1537">IF($H84*Q84&gt;150000,ROUNDDOWN(($H84*Q84-150000)*6%*45%,0),0)</f>
        <v>0</v>
      </c>
      <c r="AY84" s="12">
        <f t="shared" ref="AY84" si="1538">IF($H84*R84&gt;150000,ROUNDDOWN(($H84*R84-150000)*6%*45%,0),0)</f>
        <v>0</v>
      </c>
      <c r="AZ84" s="12">
        <f t="shared" ref="AZ84" si="1539">IF($H84*S84&gt;150000,ROUNDDOWN(($H84*S84-150000)*6%*45%,0),0)</f>
        <v>0</v>
      </c>
      <c r="BA84" s="12">
        <f t="shared" ref="BA84" si="1540">IF($H84*T84&gt;150000,ROUNDDOWN(($H84*T84-150000)*6%*45%,0),0)</f>
        <v>0</v>
      </c>
      <c r="BB84" s="12">
        <f t="shared" ref="BB84" si="1541">IF($H84*U84&gt;150000,ROUNDDOWN(($H84*U84-150000)*6%*45%,0),0)</f>
        <v>0</v>
      </c>
      <c r="BC84" s="12">
        <f t="shared" ref="BC84" si="1542">IF($H84*V84&gt;150000,ROUNDDOWN(($H84*V84-150000)*6%*45%,0),0)</f>
        <v>0</v>
      </c>
      <c r="BD84" s="13">
        <f t="shared" ref="BD84" si="1543">IF($H84*W84&gt;150000,ROUNDDOWN(($H84*W84-150000)*6%*45%,0),0)</f>
        <v>0</v>
      </c>
      <c r="BE84" s="14"/>
    </row>
    <row r="85" spans="1:58" x14ac:dyDescent="0.3">
      <c r="A85" s="142"/>
      <c r="B85" s="116"/>
      <c r="C85" s="116"/>
      <c r="D85" s="143"/>
      <c r="E85" s="116"/>
      <c r="F85" s="116"/>
      <c r="G85" s="144"/>
      <c r="H85" s="112"/>
      <c r="I85" s="43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5"/>
      <c r="Y85" s="145"/>
      <c r="Z85" s="116"/>
      <c r="AA85" s="112"/>
      <c r="AB85" s="65">
        <f t="shared" ref="AB85" si="1544">ROUNDDOWN(AB84*10%,-1)</f>
        <v>0</v>
      </c>
      <c r="AC85" s="66">
        <f t="shared" ref="AC85" ca="1" si="1545">IFERROR(IF(AND( OR(COUNTIF(I84:X85, "&gt;0")&gt;=$AJ$1, AA84&gt;=$AJ$4),AN84&lt;60,AA84&lt;=$AH$5),ROUNDDOWN(ROUNDDOWN(AA84,-3)*$AH$4%,-1),IF(AND(COUNTIF(I84:X85,"&gt;0")&gt;=$AJ$1,AN84&lt;60,AA84&gt;$AH$5),$AJ$5,0)),0)</f>
        <v>0</v>
      </c>
      <c r="AD85" s="67">
        <f t="shared" ref="AD85" si="1546">IF(Z84&gt;=$AJ$1,ROUNDDOWN(AD84*$AH$3%/($AH$2*2%),-1),0)</f>
        <v>0</v>
      </c>
      <c r="AE85" s="112"/>
      <c r="AF85" s="112"/>
      <c r="AG85" s="116"/>
      <c r="AH85" s="116"/>
      <c r="AI85" s="116"/>
      <c r="AJ85" s="116"/>
      <c r="AK85" s="149"/>
      <c r="AL85" s="149"/>
      <c r="AM85" s="115"/>
      <c r="AN85" s="113"/>
      <c r="AO85" s="112"/>
      <c r="AP85" s="15">
        <f t="shared" ref="AP85" si="1547">IF($H84*I85&gt;150000,ROUNDDOWN(($H84*I85-150000)*6%*45%,0),0)</f>
        <v>0</v>
      </c>
      <c r="AQ85" s="16">
        <f t="shared" ref="AQ85" si="1548">IF($H84*J85&gt;150000,ROUNDDOWN(($H84*J85-150000)*6%*45%,0),0)</f>
        <v>0</v>
      </c>
      <c r="AR85" s="16">
        <f t="shared" ref="AR85" si="1549">IF($H84*K85&gt;150000,ROUNDDOWN(($H84*K85-150000)*6%*45%,0),0)</f>
        <v>0</v>
      </c>
      <c r="AS85" s="16">
        <f t="shared" ref="AS85" si="1550">IF($H84*L85&gt;150000,ROUNDDOWN(($H84*L85-150000)*6%*45%,0),0)</f>
        <v>0</v>
      </c>
      <c r="AT85" s="16">
        <f t="shared" ref="AT85" si="1551">IF($H84*M85&gt;150000,ROUNDDOWN(($H84*M85-150000)*6%*45%,0),0)</f>
        <v>0</v>
      </c>
      <c r="AU85" s="16">
        <f t="shared" ref="AU85" si="1552">IF($H84*N85&gt;150000,ROUNDDOWN(($H84*N85-150000)*6%*45%,0),0)</f>
        <v>0</v>
      </c>
      <c r="AV85" s="16">
        <f t="shared" ref="AV85" si="1553">IF($H84*O85&gt;150000,ROUNDDOWN(($H84*O85-150000)*6%*45%,0),0)</f>
        <v>0</v>
      </c>
      <c r="AW85" s="16">
        <f t="shared" ref="AW85" si="1554">IF($H84*P85&gt;150000,ROUNDDOWN(($H84*P85-150000)*6%*45%,0),0)</f>
        <v>0</v>
      </c>
      <c r="AX85" s="16">
        <f t="shared" ref="AX85" si="1555">IF($H84*Q85&gt;150000,ROUNDDOWN(($H84*Q85-150000)*6%*45%,0),0)</f>
        <v>0</v>
      </c>
      <c r="AY85" s="16">
        <f t="shared" ref="AY85" si="1556">IF($H84*R85&gt;150000,ROUNDDOWN(($H84*R85-150000)*6%*45%,0),0)</f>
        <v>0</v>
      </c>
      <c r="AZ85" s="16">
        <f t="shared" ref="AZ85" si="1557">IF($H84*S85&gt;150000,ROUNDDOWN(($H84*S85-150000)*6%*45%,0),0)</f>
        <v>0</v>
      </c>
      <c r="BA85" s="16">
        <f t="shared" ref="BA85" si="1558">IF($H84*T85&gt;150000,ROUNDDOWN(($H84*T85-150000)*6%*45%,0),0)</f>
        <v>0</v>
      </c>
      <c r="BB85" s="16">
        <f t="shared" ref="BB85" si="1559">IF($H84*U85&gt;150000,ROUNDDOWN(($H84*U85-150000)*6%*45%,0),0)</f>
        <v>0</v>
      </c>
      <c r="BC85" s="16">
        <f t="shared" ref="BC85" si="1560">IF($H84*V85&gt;150000,ROUNDDOWN(($H84*V85-150000)*6%*45%,0),0)</f>
        <v>0</v>
      </c>
      <c r="BD85" s="16">
        <f t="shared" ref="BD85" si="1561">IF($H84*W85&gt;150000,ROUNDDOWN(($H84*W85-150000)*6%*45%,0),0)</f>
        <v>0</v>
      </c>
      <c r="BE85" s="17">
        <f t="shared" ref="BE85" si="1562">IF($H84*X85&gt;150000,ROUNDDOWN(($H84*X85-150000)*6%*45%,0),0)</f>
        <v>0</v>
      </c>
      <c r="BF85" s="28"/>
    </row>
    <row r="86" spans="1:58" x14ac:dyDescent="0.3">
      <c r="A86" s="142">
        <v>40</v>
      </c>
      <c r="B86" s="116" t="str">
        <f t="shared" ref="B86" si="1563">IF(LEN(D86)&gt;1,IF(VALUE(MID(RIGHT(D86,7),1,1))&gt;4,"외국인",IF(VALUE(RIGHT(11-MOD((MID(D86,1,1)*2+MID(D86,2,1)*3+MID(D86,3,1)*4+MID(D86,4,1)*5+MID(D86,5,1)*6+MID(D86,6,1)*7+MID(RIGHT(D86,7),1,1)*8+MID(RIGHT(D86,7),2,1)*9+MID(RIGHT(D86,7),3,1)*2+MID(RIGHT(D86,7),4,1)*3+MID(RIGHT(D86,7),5,1)*4+MID(RIGHT(D86,7),6,1)*5),11),1))=VALUE(RIGHT(D86,1)),"","오류")),"")</f>
        <v/>
      </c>
      <c r="C86" s="116"/>
      <c r="D86" s="143"/>
      <c r="E86" s="116"/>
      <c r="F86" s="116"/>
      <c r="G86" s="144"/>
      <c r="H86" s="112"/>
      <c r="I86" s="38"/>
      <c r="J86" s="39"/>
      <c r="K86" s="39"/>
      <c r="L86" s="39"/>
      <c r="M86" s="39"/>
      <c r="N86" s="39"/>
      <c r="O86" s="39"/>
      <c r="P86" s="39"/>
      <c r="Q86" s="39"/>
      <c r="R86" s="39"/>
      <c r="S86" s="40"/>
      <c r="T86" s="40"/>
      <c r="U86" s="39"/>
      <c r="V86" s="39"/>
      <c r="W86" s="41"/>
      <c r="X86" s="42"/>
      <c r="Y86" s="145">
        <f>SUM(I86:X87)</f>
        <v>0</v>
      </c>
      <c r="Z86" s="116">
        <f>COUNTIF(I86:X87,"&gt;0")</f>
        <v>0</v>
      </c>
      <c r="AA86" s="112">
        <f t="shared" ref="AA86" si="1564">H86*Y86</f>
        <v>0</v>
      </c>
      <c r="AB86" s="62">
        <f t="shared" ref="AB86" si="1565">IF(AO86&lt;1000, 0, AO86)</f>
        <v>0</v>
      </c>
      <c r="AC86" s="63">
        <f ca="1">IF(IFERROR($AN86&lt;65,FALSE), IF(B86&lt;&gt;"외국인", ROUNDDOWN(AA86*$AH$1%,-1), IF(AND(AM86&lt;&gt;"", ISNUMBER(SEARCH(LEFT(SUBSTITUTE(AM86, "-",""),2), "F2_F5_F6"))), ROUNDDOWN(AA86*$AH$1%,-1), 0)),0)</f>
        <v>0</v>
      </c>
      <c r="AD86" s="64">
        <f t="shared" ref="AD86" si="1566">IF(Z86&gt;=$AJ$1,ROUNDDOWN(AA86*$AH$2%,-1),0)</f>
        <v>0</v>
      </c>
      <c r="AE86" s="112">
        <f t="shared" ref="AE86" ca="1" si="1567">AB86+AC86+AB87+AC87+AD86+AD87</f>
        <v>0</v>
      </c>
      <c r="AF86" s="112">
        <f t="shared" ref="AF86" ca="1" si="1568">AA86-AE86</f>
        <v>0</v>
      </c>
      <c r="AG86" s="116"/>
      <c r="AH86" s="116"/>
      <c r="AI86" s="116"/>
      <c r="AJ86" s="116"/>
      <c r="AK86" s="149"/>
      <c r="AL86" s="149"/>
      <c r="AM86" s="115"/>
      <c r="AN86" s="113" t="str">
        <f t="shared" ref="AN86" ca="1" si="1569">IFERROR(DATEDIF(DATE(IF(ISNUMBER(FIND(MID( SUBSTITUTE(D86, "-",""), 7, 1), "3478")), 2000, 1900)+MID(D86,1,2), MID(D86,3,2), MID(D86,5,2)), TODAY(), "Y"),"")</f>
        <v/>
      </c>
      <c r="AO86" s="112">
        <f>ROUNDDOWN(SUM(AP86:BE87),-1)</f>
        <v>0</v>
      </c>
      <c r="AP86" s="11">
        <f t="shared" ref="AP86" si="1570">IF($H86*I86&gt;150000,ROUNDDOWN(($H86*I86-150000)*6%*45%,0),0)</f>
        <v>0</v>
      </c>
      <c r="AQ86" s="12">
        <f t="shared" ref="AQ86" si="1571">IF($H86*J86&gt;150000,ROUNDDOWN(($H86*J86-150000)*6%*45%,0),0)</f>
        <v>0</v>
      </c>
      <c r="AR86" s="12">
        <f t="shared" ref="AR86" si="1572">IF($H86*K86&gt;150000,ROUNDDOWN(($H86*K86-150000)*6%*45%,0),0)</f>
        <v>0</v>
      </c>
      <c r="AS86" s="12">
        <f t="shared" ref="AS86" si="1573">IF($H86*L86&gt;150000,ROUNDDOWN(($H86*L86-150000)*6%*45%,0),0)</f>
        <v>0</v>
      </c>
      <c r="AT86" s="12">
        <f t="shared" ref="AT86" si="1574">IF($H86*M86&gt;150000,ROUNDDOWN(($H86*M86-150000)*6%*45%,0),0)</f>
        <v>0</v>
      </c>
      <c r="AU86" s="12">
        <f t="shared" ref="AU86" si="1575">IF($H86*N86&gt;150000,ROUNDDOWN(($H86*N86-150000)*6%*45%,0),0)</f>
        <v>0</v>
      </c>
      <c r="AV86" s="12">
        <f t="shared" ref="AV86" si="1576">IF($H86*O86&gt;150000,ROUNDDOWN(($H86*O86-150000)*6%*45%,0),0)</f>
        <v>0</v>
      </c>
      <c r="AW86" s="12">
        <f t="shared" ref="AW86" si="1577">IF($H86*P86&gt;150000,ROUNDDOWN(($H86*P86-150000)*6%*45%,0),0)</f>
        <v>0</v>
      </c>
      <c r="AX86" s="12">
        <f t="shared" ref="AX86" si="1578">IF($H86*Q86&gt;150000,ROUNDDOWN(($H86*Q86-150000)*6%*45%,0),0)</f>
        <v>0</v>
      </c>
      <c r="AY86" s="12">
        <f t="shared" ref="AY86" si="1579">IF($H86*R86&gt;150000,ROUNDDOWN(($H86*R86-150000)*6%*45%,0),0)</f>
        <v>0</v>
      </c>
      <c r="AZ86" s="12">
        <f t="shared" ref="AZ86" si="1580">IF($H86*S86&gt;150000,ROUNDDOWN(($H86*S86-150000)*6%*45%,0),0)</f>
        <v>0</v>
      </c>
      <c r="BA86" s="12">
        <f t="shared" ref="BA86" si="1581">IF($H86*T86&gt;150000,ROUNDDOWN(($H86*T86-150000)*6%*45%,0),0)</f>
        <v>0</v>
      </c>
      <c r="BB86" s="12">
        <f t="shared" ref="BB86" si="1582">IF($H86*U86&gt;150000,ROUNDDOWN(($H86*U86-150000)*6%*45%,0),0)</f>
        <v>0</v>
      </c>
      <c r="BC86" s="12">
        <f t="shared" ref="BC86" si="1583">IF($H86*V86&gt;150000,ROUNDDOWN(($H86*V86-150000)*6%*45%,0),0)</f>
        <v>0</v>
      </c>
      <c r="BD86" s="13">
        <f t="shared" ref="BD86" si="1584">IF($H86*W86&gt;150000,ROUNDDOWN(($H86*W86-150000)*6%*45%,0),0)</f>
        <v>0</v>
      </c>
      <c r="BE86" s="14"/>
    </row>
    <row r="87" spans="1:58" x14ac:dyDescent="0.3">
      <c r="A87" s="142"/>
      <c r="B87" s="116"/>
      <c r="C87" s="116"/>
      <c r="D87" s="143"/>
      <c r="E87" s="116"/>
      <c r="F87" s="116"/>
      <c r="G87" s="144"/>
      <c r="H87" s="112"/>
      <c r="I87" s="43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5"/>
      <c r="Y87" s="145"/>
      <c r="Z87" s="116"/>
      <c r="AA87" s="112"/>
      <c r="AB87" s="65">
        <f t="shared" ref="AB87" si="1585">ROUNDDOWN(AB86*10%,-1)</f>
        <v>0</v>
      </c>
      <c r="AC87" s="66">
        <f t="shared" ref="AC87" ca="1" si="1586">IFERROR(IF(AND( OR(COUNTIF(I86:X87, "&gt;0")&gt;=$AJ$1, AA86&gt;=$AJ$4),AN86&lt;60,AA86&lt;=$AH$5),ROUNDDOWN(ROUNDDOWN(AA86,-3)*$AH$4%,-1),IF(AND(COUNTIF(I86:X87,"&gt;0")&gt;=$AJ$1,AN86&lt;60,AA86&gt;$AH$5),$AJ$5,0)),0)</f>
        <v>0</v>
      </c>
      <c r="AD87" s="67">
        <f t="shared" ref="AD87" si="1587">IF(Z86&gt;=$AJ$1,ROUNDDOWN(AD86*$AH$3%/($AH$2*2%),-1),0)</f>
        <v>0</v>
      </c>
      <c r="AE87" s="112"/>
      <c r="AF87" s="112"/>
      <c r="AG87" s="116"/>
      <c r="AH87" s="116"/>
      <c r="AI87" s="116"/>
      <c r="AJ87" s="116"/>
      <c r="AK87" s="149"/>
      <c r="AL87" s="149"/>
      <c r="AM87" s="115"/>
      <c r="AN87" s="113"/>
      <c r="AO87" s="112"/>
      <c r="AP87" s="15">
        <f t="shared" ref="AP87" si="1588">IF($H86*I87&gt;150000,ROUNDDOWN(($H86*I87-150000)*6%*45%,0),0)</f>
        <v>0</v>
      </c>
      <c r="AQ87" s="16">
        <f t="shared" ref="AQ87" si="1589">IF($H86*J87&gt;150000,ROUNDDOWN(($H86*J87-150000)*6%*45%,0),0)</f>
        <v>0</v>
      </c>
      <c r="AR87" s="16">
        <f t="shared" ref="AR87" si="1590">IF($H86*K87&gt;150000,ROUNDDOWN(($H86*K87-150000)*6%*45%,0),0)</f>
        <v>0</v>
      </c>
      <c r="AS87" s="16">
        <f t="shared" ref="AS87" si="1591">IF($H86*L87&gt;150000,ROUNDDOWN(($H86*L87-150000)*6%*45%,0),0)</f>
        <v>0</v>
      </c>
      <c r="AT87" s="16">
        <f t="shared" ref="AT87" si="1592">IF($H86*M87&gt;150000,ROUNDDOWN(($H86*M87-150000)*6%*45%,0),0)</f>
        <v>0</v>
      </c>
      <c r="AU87" s="16">
        <f t="shared" ref="AU87" si="1593">IF($H86*N87&gt;150000,ROUNDDOWN(($H86*N87-150000)*6%*45%,0),0)</f>
        <v>0</v>
      </c>
      <c r="AV87" s="16">
        <f t="shared" ref="AV87" si="1594">IF($H86*O87&gt;150000,ROUNDDOWN(($H86*O87-150000)*6%*45%,0),0)</f>
        <v>0</v>
      </c>
      <c r="AW87" s="16">
        <f t="shared" ref="AW87" si="1595">IF($H86*P87&gt;150000,ROUNDDOWN(($H86*P87-150000)*6%*45%,0),0)</f>
        <v>0</v>
      </c>
      <c r="AX87" s="16">
        <f t="shared" ref="AX87" si="1596">IF($H86*Q87&gt;150000,ROUNDDOWN(($H86*Q87-150000)*6%*45%,0),0)</f>
        <v>0</v>
      </c>
      <c r="AY87" s="16">
        <f t="shared" ref="AY87" si="1597">IF($H86*R87&gt;150000,ROUNDDOWN(($H86*R87-150000)*6%*45%,0),0)</f>
        <v>0</v>
      </c>
      <c r="AZ87" s="16">
        <f t="shared" ref="AZ87" si="1598">IF($H86*S87&gt;150000,ROUNDDOWN(($H86*S87-150000)*6%*45%,0),0)</f>
        <v>0</v>
      </c>
      <c r="BA87" s="16">
        <f t="shared" ref="BA87" si="1599">IF($H86*T87&gt;150000,ROUNDDOWN(($H86*T87-150000)*6%*45%,0),0)</f>
        <v>0</v>
      </c>
      <c r="BB87" s="16">
        <f t="shared" ref="BB87" si="1600">IF($H86*U87&gt;150000,ROUNDDOWN(($H86*U87-150000)*6%*45%,0),0)</f>
        <v>0</v>
      </c>
      <c r="BC87" s="16">
        <f t="shared" ref="BC87" si="1601">IF($H86*V87&gt;150000,ROUNDDOWN(($H86*V87-150000)*6%*45%,0),0)</f>
        <v>0</v>
      </c>
      <c r="BD87" s="16">
        <f t="shared" ref="BD87" si="1602">IF($H86*W87&gt;150000,ROUNDDOWN(($H86*W87-150000)*6%*45%,0),0)</f>
        <v>0</v>
      </c>
      <c r="BE87" s="17">
        <f t="shared" ref="BE87" si="1603">IF($H86*X87&gt;150000,ROUNDDOWN(($H86*X87-150000)*6%*45%,0),0)</f>
        <v>0</v>
      </c>
      <c r="BF87" s="28"/>
    </row>
    <row r="88" spans="1:58" x14ac:dyDescent="0.3">
      <c r="A88" s="142">
        <v>41</v>
      </c>
      <c r="B88" s="116" t="str">
        <f t="shared" ref="B88" si="1604">IF(LEN(D88)&gt;1,IF(VALUE(MID(RIGHT(D88,7),1,1))&gt;4,"외국인",IF(VALUE(RIGHT(11-MOD((MID(D88,1,1)*2+MID(D88,2,1)*3+MID(D88,3,1)*4+MID(D88,4,1)*5+MID(D88,5,1)*6+MID(D88,6,1)*7+MID(RIGHT(D88,7),1,1)*8+MID(RIGHT(D88,7),2,1)*9+MID(RIGHT(D88,7),3,1)*2+MID(RIGHT(D88,7),4,1)*3+MID(RIGHT(D88,7),5,1)*4+MID(RIGHT(D88,7),6,1)*5),11),1))=VALUE(RIGHT(D88,1)),"","오류")),"")</f>
        <v/>
      </c>
      <c r="C88" s="116"/>
      <c r="D88" s="143"/>
      <c r="E88" s="116"/>
      <c r="F88" s="116"/>
      <c r="G88" s="144"/>
      <c r="H88" s="112"/>
      <c r="I88" s="38"/>
      <c r="J88" s="39"/>
      <c r="K88" s="39"/>
      <c r="L88" s="39"/>
      <c r="M88" s="39"/>
      <c r="N88" s="39"/>
      <c r="O88" s="39"/>
      <c r="P88" s="39"/>
      <c r="Q88" s="39"/>
      <c r="R88" s="39"/>
      <c r="S88" s="40"/>
      <c r="T88" s="40"/>
      <c r="U88" s="39"/>
      <c r="V88" s="39"/>
      <c r="W88" s="41"/>
      <c r="X88" s="42"/>
      <c r="Y88" s="145">
        <f>SUM(I88:X89)</f>
        <v>0</v>
      </c>
      <c r="Z88" s="116">
        <f>COUNTIF(I88:X89,"&gt;0")</f>
        <v>0</v>
      </c>
      <c r="AA88" s="112">
        <f t="shared" ref="AA88" si="1605">H88*Y88</f>
        <v>0</v>
      </c>
      <c r="AB88" s="62">
        <f t="shared" ref="AB88" si="1606">IF(AO88&lt;1000, 0, AO88)</f>
        <v>0</v>
      </c>
      <c r="AC88" s="63">
        <f ca="1">IF(IFERROR($AN88&lt;65,FALSE), IF(B88&lt;&gt;"외국인", ROUNDDOWN(AA88*$AH$1%,-1), IF(AND(AM88&lt;&gt;"", ISNUMBER(SEARCH(LEFT(SUBSTITUTE(AM88, "-",""),2), "F2_F5_F6"))), ROUNDDOWN(AA88*$AH$1%,-1), 0)),0)</f>
        <v>0</v>
      </c>
      <c r="AD88" s="64">
        <f t="shared" ref="AD88" si="1607">IF(Z88&gt;=$AJ$1,ROUNDDOWN(AA88*$AH$2%,-1),0)</f>
        <v>0</v>
      </c>
      <c r="AE88" s="112">
        <f t="shared" ref="AE88" ca="1" si="1608">AB88+AC88+AB89+AC89+AD88+AD89</f>
        <v>0</v>
      </c>
      <c r="AF88" s="112">
        <f t="shared" ref="AF88" ca="1" si="1609">AA88-AE88</f>
        <v>0</v>
      </c>
      <c r="AG88" s="116"/>
      <c r="AH88" s="116"/>
      <c r="AI88" s="116"/>
      <c r="AJ88" s="116"/>
      <c r="AK88" s="149"/>
      <c r="AL88" s="149"/>
      <c r="AM88" s="115"/>
      <c r="AN88" s="113" t="str">
        <f t="shared" ref="AN88" ca="1" si="1610">IFERROR(DATEDIF(DATE(IF(ISNUMBER(FIND(MID( SUBSTITUTE(D88, "-",""), 7, 1), "3478")), 2000, 1900)+MID(D88,1,2), MID(D88,3,2), MID(D88,5,2)), TODAY(), "Y"),"")</f>
        <v/>
      </c>
      <c r="AO88" s="112">
        <f>ROUNDDOWN(SUM(AP88:BE89),-1)</f>
        <v>0</v>
      </c>
      <c r="AP88" s="11">
        <f t="shared" ref="AP88" si="1611">IF($H88*I88&gt;150000,ROUNDDOWN(($H88*I88-150000)*6%*45%,0),0)</f>
        <v>0</v>
      </c>
      <c r="AQ88" s="12">
        <f t="shared" ref="AQ88" si="1612">IF($H88*J88&gt;150000,ROUNDDOWN(($H88*J88-150000)*6%*45%,0),0)</f>
        <v>0</v>
      </c>
      <c r="AR88" s="12">
        <f t="shared" ref="AR88" si="1613">IF($H88*K88&gt;150000,ROUNDDOWN(($H88*K88-150000)*6%*45%,0),0)</f>
        <v>0</v>
      </c>
      <c r="AS88" s="12">
        <f t="shared" ref="AS88" si="1614">IF($H88*L88&gt;150000,ROUNDDOWN(($H88*L88-150000)*6%*45%,0),0)</f>
        <v>0</v>
      </c>
      <c r="AT88" s="12">
        <f t="shared" ref="AT88" si="1615">IF($H88*M88&gt;150000,ROUNDDOWN(($H88*M88-150000)*6%*45%,0),0)</f>
        <v>0</v>
      </c>
      <c r="AU88" s="12">
        <f t="shared" ref="AU88" si="1616">IF($H88*N88&gt;150000,ROUNDDOWN(($H88*N88-150000)*6%*45%,0),0)</f>
        <v>0</v>
      </c>
      <c r="AV88" s="12">
        <f t="shared" ref="AV88" si="1617">IF($H88*O88&gt;150000,ROUNDDOWN(($H88*O88-150000)*6%*45%,0),0)</f>
        <v>0</v>
      </c>
      <c r="AW88" s="12">
        <f t="shared" ref="AW88" si="1618">IF($H88*P88&gt;150000,ROUNDDOWN(($H88*P88-150000)*6%*45%,0),0)</f>
        <v>0</v>
      </c>
      <c r="AX88" s="12">
        <f t="shared" ref="AX88" si="1619">IF($H88*Q88&gt;150000,ROUNDDOWN(($H88*Q88-150000)*6%*45%,0),0)</f>
        <v>0</v>
      </c>
      <c r="AY88" s="12">
        <f t="shared" ref="AY88" si="1620">IF($H88*R88&gt;150000,ROUNDDOWN(($H88*R88-150000)*6%*45%,0),0)</f>
        <v>0</v>
      </c>
      <c r="AZ88" s="12">
        <f t="shared" ref="AZ88" si="1621">IF($H88*S88&gt;150000,ROUNDDOWN(($H88*S88-150000)*6%*45%,0),0)</f>
        <v>0</v>
      </c>
      <c r="BA88" s="12">
        <f t="shared" ref="BA88" si="1622">IF($H88*T88&gt;150000,ROUNDDOWN(($H88*T88-150000)*6%*45%,0),0)</f>
        <v>0</v>
      </c>
      <c r="BB88" s="12">
        <f t="shared" ref="BB88" si="1623">IF($H88*U88&gt;150000,ROUNDDOWN(($H88*U88-150000)*6%*45%,0),0)</f>
        <v>0</v>
      </c>
      <c r="BC88" s="12">
        <f t="shared" ref="BC88" si="1624">IF($H88*V88&gt;150000,ROUNDDOWN(($H88*V88-150000)*6%*45%,0),0)</f>
        <v>0</v>
      </c>
      <c r="BD88" s="13">
        <f t="shared" ref="BD88" si="1625">IF($H88*W88&gt;150000,ROUNDDOWN(($H88*W88-150000)*6%*45%,0),0)</f>
        <v>0</v>
      </c>
      <c r="BE88" s="14"/>
    </row>
    <row r="89" spans="1:58" x14ac:dyDescent="0.3">
      <c r="A89" s="142"/>
      <c r="B89" s="116"/>
      <c r="C89" s="116"/>
      <c r="D89" s="143"/>
      <c r="E89" s="116"/>
      <c r="F89" s="116"/>
      <c r="G89" s="144"/>
      <c r="H89" s="112"/>
      <c r="I89" s="43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5"/>
      <c r="Y89" s="145"/>
      <c r="Z89" s="116"/>
      <c r="AA89" s="112"/>
      <c r="AB89" s="65">
        <f t="shared" ref="AB89" si="1626">ROUNDDOWN(AB88*10%,-1)</f>
        <v>0</v>
      </c>
      <c r="AC89" s="66">
        <f t="shared" ref="AC89" ca="1" si="1627">IFERROR(IF(AND( OR(COUNTIF(I88:X89, "&gt;0")&gt;=$AJ$1, AA88&gt;=$AJ$4),AN88&lt;60,AA88&lt;=$AH$5),ROUNDDOWN(ROUNDDOWN(AA88,-3)*$AH$4%,-1),IF(AND(COUNTIF(I88:X89,"&gt;0")&gt;=$AJ$1,AN88&lt;60,AA88&gt;$AH$5),$AJ$5,0)),0)</f>
        <v>0</v>
      </c>
      <c r="AD89" s="67">
        <f t="shared" ref="AD89" si="1628">IF(Z88&gt;=$AJ$1,ROUNDDOWN(AD88*$AH$3%/($AH$2*2%),-1),0)</f>
        <v>0</v>
      </c>
      <c r="AE89" s="112"/>
      <c r="AF89" s="112"/>
      <c r="AG89" s="116"/>
      <c r="AH89" s="116"/>
      <c r="AI89" s="116"/>
      <c r="AJ89" s="116"/>
      <c r="AK89" s="149"/>
      <c r="AL89" s="149"/>
      <c r="AM89" s="115"/>
      <c r="AN89" s="113"/>
      <c r="AO89" s="112"/>
      <c r="AP89" s="15">
        <f t="shared" ref="AP89" si="1629">IF($H88*I89&gt;150000,ROUNDDOWN(($H88*I89-150000)*6%*45%,0),0)</f>
        <v>0</v>
      </c>
      <c r="AQ89" s="16">
        <f t="shared" ref="AQ89" si="1630">IF($H88*J89&gt;150000,ROUNDDOWN(($H88*J89-150000)*6%*45%,0),0)</f>
        <v>0</v>
      </c>
      <c r="AR89" s="16">
        <f t="shared" ref="AR89" si="1631">IF($H88*K89&gt;150000,ROUNDDOWN(($H88*K89-150000)*6%*45%,0),0)</f>
        <v>0</v>
      </c>
      <c r="AS89" s="16">
        <f t="shared" ref="AS89" si="1632">IF($H88*L89&gt;150000,ROUNDDOWN(($H88*L89-150000)*6%*45%,0),0)</f>
        <v>0</v>
      </c>
      <c r="AT89" s="16">
        <f t="shared" ref="AT89" si="1633">IF($H88*M89&gt;150000,ROUNDDOWN(($H88*M89-150000)*6%*45%,0),0)</f>
        <v>0</v>
      </c>
      <c r="AU89" s="16">
        <f t="shared" ref="AU89" si="1634">IF($H88*N89&gt;150000,ROUNDDOWN(($H88*N89-150000)*6%*45%,0),0)</f>
        <v>0</v>
      </c>
      <c r="AV89" s="16">
        <f t="shared" ref="AV89" si="1635">IF($H88*O89&gt;150000,ROUNDDOWN(($H88*O89-150000)*6%*45%,0),0)</f>
        <v>0</v>
      </c>
      <c r="AW89" s="16">
        <f t="shared" ref="AW89" si="1636">IF($H88*P89&gt;150000,ROUNDDOWN(($H88*P89-150000)*6%*45%,0),0)</f>
        <v>0</v>
      </c>
      <c r="AX89" s="16">
        <f t="shared" ref="AX89" si="1637">IF($H88*Q89&gt;150000,ROUNDDOWN(($H88*Q89-150000)*6%*45%,0),0)</f>
        <v>0</v>
      </c>
      <c r="AY89" s="16">
        <f t="shared" ref="AY89" si="1638">IF($H88*R89&gt;150000,ROUNDDOWN(($H88*R89-150000)*6%*45%,0),0)</f>
        <v>0</v>
      </c>
      <c r="AZ89" s="16">
        <f t="shared" ref="AZ89" si="1639">IF($H88*S89&gt;150000,ROUNDDOWN(($H88*S89-150000)*6%*45%,0),0)</f>
        <v>0</v>
      </c>
      <c r="BA89" s="16">
        <f t="shared" ref="BA89" si="1640">IF($H88*T89&gt;150000,ROUNDDOWN(($H88*T89-150000)*6%*45%,0),0)</f>
        <v>0</v>
      </c>
      <c r="BB89" s="16">
        <f t="shared" ref="BB89" si="1641">IF($H88*U89&gt;150000,ROUNDDOWN(($H88*U89-150000)*6%*45%,0),0)</f>
        <v>0</v>
      </c>
      <c r="BC89" s="16">
        <f t="shared" ref="BC89" si="1642">IF($H88*V89&gt;150000,ROUNDDOWN(($H88*V89-150000)*6%*45%,0),0)</f>
        <v>0</v>
      </c>
      <c r="BD89" s="16">
        <f t="shared" ref="BD89" si="1643">IF($H88*W89&gt;150000,ROUNDDOWN(($H88*W89-150000)*6%*45%,0),0)</f>
        <v>0</v>
      </c>
      <c r="BE89" s="17">
        <f t="shared" ref="BE89" si="1644">IF($H88*X89&gt;150000,ROUNDDOWN(($H88*X89-150000)*6%*45%,0),0)</f>
        <v>0</v>
      </c>
      <c r="BF89" s="28"/>
    </row>
    <row r="90" spans="1:58" x14ac:dyDescent="0.3">
      <c r="A90" s="142">
        <v>42</v>
      </c>
      <c r="B90" s="116" t="str">
        <f t="shared" ref="B90" si="1645">IF(LEN(D90)&gt;1,IF(VALUE(MID(RIGHT(D90,7),1,1))&gt;4,"외국인",IF(VALUE(RIGHT(11-MOD((MID(D90,1,1)*2+MID(D90,2,1)*3+MID(D90,3,1)*4+MID(D90,4,1)*5+MID(D90,5,1)*6+MID(D90,6,1)*7+MID(RIGHT(D90,7),1,1)*8+MID(RIGHT(D90,7),2,1)*9+MID(RIGHT(D90,7),3,1)*2+MID(RIGHT(D90,7),4,1)*3+MID(RIGHT(D90,7),5,1)*4+MID(RIGHT(D90,7),6,1)*5),11),1))=VALUE(RIGHT(D90,1)),"","오류")),"")</f>
        <v/>
      </c>
      <c r="C90" s="116"/>
      <c r="D90" s="143"/>
      <c r="E90" s="116"/>
      <c r="F90" s="116"/>
      <c r="G90" s="144"/>
      <c r="H90" s="112"/>
      <c r="I90" s="38"/>
      <c r="J90" s="39"/>
      <c r="K90" s="39"/>
      <c r="L90" s="39"/>
      <c r="M90" s="39"/>
      <c r="N90" s="39"/>
      <c r="O90" s="39"/>
      <c r="P90" s="39"/>
      <c r="Q90" s="39"/>
      <c r="R90" s="39"/>
      <c r="S90" s="40"/>
      <c r="T90" s="40"/>
      <c r="U90" s="39"/>
      <c r="V90" s="39"/>
      <c r="W90" s="41"/>
      <c r="X90" s="42"/>
      <c r="Y90" s="145">
        <f>SUM(I90:X91)</f>
        <v>0</v>
      </c>
      <c r="Z90" s="116">
        <f>COUNTIF(I90:X91,"&gt;0")</f>
        <v>0</v>
      </c>
      <c r="AA90" s="112">
        <f t="shared" ref="AA90" si="1646">H90*Y90</f>
        <v>0</v>
      </c>
      <c r="AB90" s="62">
        <f t="shared" ref="AB90" si="1647">IF(AO90&lt;1000, 0, AO90)</f>
        <v>0</v>
      </c>
      <c r="AC90" s="63">
        <f ca="1">IF(IFERROR($AN90&lt;65,FALSE), IF(B90&lt;&gt;"외국인", ROUNDDOWN(AA90*$AH$1%,-1), IF(AND(AM90&lt;&gt;"", ISNUMBER(SEARCH(LEFT(SUBSTITUTE(AM90, "-",""),2), "F2_F5_F6"))), ROUNDDOWN(AA90*$AH$1%,-1), 0)),0)</f>
        <v>0</v>
      </c>
      <c r="AD90" s="64">
        <f t="shared" ref="AD90" si="1648">IF(Z90&gt;=$AJ$1,ROUNDDOWN(AA90*$AH$2%,-1),0)</f>
        <v>0</v>
      </c>
      <c r="AE90" s="112">
        <f t="shared" ref="AE90" ca="1" si="1649">AB90+AC90+AB91+AC91+AD90+AD91</f>
        <v>0</v>
      </c>
      <c r="AF90" s="112">
        <f t="shared" ref="AF90" ca="1" si="1650">AA90-AE90</f>
        <v>0</v>
      </c>
      <c r="AG90" s="116"/>
      <c r="AH90" s="116"/>
      <c r="AI90" s="116"/>
      <c r="AJ90" s="116"/>
      <c r="AK90" s="149"/>
      <c r="AL90" s="149"/>
      <c r="AM90" s="115"/>
      <c r="AN90" s="113" t="str">
        <f t="shared" ref="AN90" ca="1" si="1651">IFERROR(DATEDIF(DATE(IF(ISNUMBER(FIND(MID( SUBSTITUTE(D90, "-",""), 7, 1), "3478")), 2000, 1900)+MID(D90,1,2), MID(D90,3,2), MID(D90,5,2)), TODAY(), "Y"),"")</f>
        <v/>
      </c>
      <c r="AO90" s="112">
        <f>ROUNDDOWN(SUM(AP90:BE91),-1)</f>
        <v>0</v>
      </c>
      <c r="AP90" s="11">
        <f t="shared" ref="AP90" si="1652">IF($H90*I90&gt;150000,ROUNDDOWN(($H90*I90-150000)*6%*45%,0),0)</f>
        <v>0</v>
      </c>
      <c r="AQ90" s="12">
        <f t="shared" ref="AQ90" si="1653">IF($H90*J90&gt;150000,ROUNDDOWN(($H90*J90-150000)*6%*45%,0),0)</f>
        <v>0</v>
      </c>
      <c r="AR90" s="12">
        <f t="shared" ref="AR90" si="1654">IF($H90*K90&gt;150000,ROUNDDOWN(($H90*K90-150000)*6%*45%,0),0)</f>
        <v>0</v>
      </c>
      <c r="AS90" s="12">
        <f t="shared" ref="AS90" si="1655">IF($H90*L90&gt;150000,ROUNDDOWN(($H90*L90-150000)*6%*45%,0),0)</f>
        <v>0</v>
      </c>
      <c r="AT90" s="12">
        <f t="shared" ref="AT90" si="1656">IF($H90*M90&gt;150000,ROUNDDOWN(($H90*M90-150000)*6%*45%,0),0)</f>
        <v>0</v>
      </c>
      <c r="AU90" s="12">
        <f t="shared" ref="AU90" si="1657">IF($H90*N90&gt;150000,ROUNDDOWN(($H90*N90-150000)*6%*45%,0),0)</f>
        <v>0</v>
      </c>
      <c r="AV90" s="12">
        <f t="shared" ref="AV90" si="1658">IF($H90*O90&gt;150000,ROUNDDOWN(($H90*O90-150000)*6%*45%,0),0)</f>
        <v>0</v>
      </c>
      <c r="AW90" s="12">
        <f t="shared" ref="AW90" si="1659">IF($H90*P90&gt;150000,ROUNDDOWN(($H90*P90-150000)*6%*45%,0),0)</f>
        <v>0</v>
      </c>
      <c r="AX90" s="12">
        <f t="shared" ref="AX90" si="1660">IF($H90*Q90&gt;150000,ROUNDDOWN(($H90*Q90-150000)*6%*45%,0),0)</f>
        <v>0</v>
      </c>
      <c r="AY90" s="12">
        <f t="shared" ref="AY90" si="1661">IF($H90*R90&gt;150000,ROUNDDOWN(($H90*R90-150000)*6%*45%,0),0)</f>
        <v>0</v>
      </c>
      <c r="AZ90" s="12">
        <f t="shared" ref="AZ90" si="1662">IF($H90*S90&gt;150000,ROUNDDOWN(($H90*S90-150000)*6%*45%,0),0)</f>
        <v>0</v>
      </c>
      <c r="BA90" s="12">
        <f t="shared" ref="BA90" si="1663">IF($H90*T90&gt;150000,ROUNDDOWN(($H90*T90-150000)*6%*45%,0),0)</f>
        <v>0</v>
      </c>
      <c r="BB90" s="12">
        <f t="shared" ref="BB90" si="1664">IF($H90*U90&gt;150000,ROUNDDOWN(($H90*U90-150000)*6%*45%,0),0)</f>
        <v>0</v>
      </c>
      <c r="BC90" s="12">
        <f t="shared" ref="BC90" si="1665">IF($H90*V90&gt;150000,ROUNDDOWN(($H90*V90-150000)*6%*45%,0),0)</f>
        <v>0</v>
      </c>
      <c r="BD90" s="13">
        <f t="shared" ref="BD90" si="1666">IF($H90*W90&gt;150000,ROUNDDOWN(($H90*W90-150000)*6%*45%,0),0)</f>
        <v>0</v>
      </c>
      <c r="BE90" s="14"/>
    </row>
    <row r="91" spans="1:58" x14ac:dyDescent="0.3">
      <c r="A91" s="142"/>
      <c r="B91" s="116"/>
      <c r="C91" s="116"/>
      <c r="D91" s="143"/>
      <c r="E91" s="116"/>
      <c r="F91" s="116"/>
      <c r="G91" s="144"/>
      <c r="H91" s="112"/>
      <c r="I91" s="43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5"/>
      <c r="Y91" s="145"/>
      <c r="Z91" s="116"/>
      <c r="AA91" s="112"/>
      <c r="AB91" s="65">
        <f t="shared" ref="AB91" si="1667">ROUNDDOWN(AB90*10%,-1)</f>
        <v>0</v>
      </c>
      <c r="AC91" s="66">
        <f t="shared" ref="AC91" ca="1" si="1668">IFERROR(IF(AND( OR(COUNTIF(I90:X91, "&gt;0")&gt;=$AJ$1, AA90&gt;=$AJ$4),AN90&lt;60,AA90&lt;=$AH$5),ROUNDDOWN(ROUNDDOWN(AA90,-3)*$AH$4%,-1),IF(AND(COUNTIF(I90:X91,"&gt;0")&gt;=$AJ$1,AN90&lt;60,AA90&gt;$AH$5),$AJ$5,0)),0)</f>
        <v>0</v>
      </c>
      <c r="AD91" s="67">
        <f t="shared" ref="AD91" si="1669">IF(Z90&gt;=$AJ$1,ROUNDDOWN(AD90*$AH$3%/($AH$2*2%),-1),0)</f>
        <v>0</v>
      </c>
      <c r="AE91" s="112"/>
      <c r="AF91" s="112"/>
      <c r="AG91" s="116"/>
      <c r="AH91" s="116"/>
      <c r="AI91" s="116"/>
      <c r="AJ91" s="116"/>
      <c r="AK91" s="149"/>
      <c r="AL91" s="149"/>
      <c r="AM91" s="115"/>
      <c r="AN91" s="113"/>
      <c r="AO91" s="112"/>
      <c r="AP91" s="15">
        <f t="shared" ref="AP91" si="1670">IF($H90*I91&gt;150000,ROUNDDOWN(($H90*I91-150000)*6%*45%,0),0)</f>
        <v>0</v>
      </c>
      <c r="AQ91" s="16">
        <f t="shared" ref="AQ91" si="1671">IF($H90*J91&gt;150000,ROUNDDOWN(($H90*J91-150000)*6%*45%,0),0)</f>
        <v>0</v>
      </c>
      <c r="AR91" s="16">
        <f t="shared" ref="AR91" si="1672">IF($H90*K91&gt;150000,ROUNDDOWN(($H90*K91-150000)*6%*45%,0),0)</f>
        <v>0</v>
      </c>
      <c r="AS91" s="16">
        <f t="shared" ref="AS91" si="1673">IF($H90*L91&gt;150000,ROUNDDOWN(($H90*L91-150000)*6%*45%,0),0)</f>
        <v>0</v>
      </c>
      <c r="AT91" s="16">
        <f t="shared" ref="AT91" si="1674">IF($H90*M91&gt;150000,ROUNDDOWN(($H90*M91-150000)*6%*45%,0),0)</f>
        <v>0</v>
      </c>
      <c r="AU91" s="16">
        <f t="shared" ref="AU91" si="1675">IF($H90*N91&gt;150000,ROUNDDOWN(($H90*N91-150000)*6%*45%,0),0)</f>
        <v>0</v>
      </c>
      <c r="AV91" s="16">
        <f t="shared" ref="AV91" si="1676">IF($H90*O91&gt;150000,ROUNDDOWN(($H90*O91-150000)*6%*45%,0),0)</f>
        <v>0</v>
      </c>
      <c r="AW91" s="16">
        <f t="shared" ref="AW91" si="1677">IF($H90*P91&gt;150000,ROUNDDOWN(($H90*P91-150000)*6%*45%,0),0)</f>
        <v>0</v>
      </c>
      <c r="AX91" s="16">
        <f t="shared" ref="AX91" si="1678">IF($H90*Q91&gt;150000,ROUNDDOWN(($H90*Q91-150000)*6%*45%,0),0)</f>
        <v>0</v>
      </c>
      <c r="AY91" s="16">
        <f t="shared" ref="AY91" si="1679">IF($H90*R91&gt;150000,ROUNDDOWN(($H90*R91-150000)*6%*45%,0),0)</f>
        <v>0</v>
      </c>
      <c r="AZ91" s="16">
        <f t="shared" ref="AZ91" si="1680">IF($H90*S91&gt;150000,ROUNDDOWN(($H90*S91-150000)*6%*45%,0),0)</f>
        <v>0</v>
      </c>
      <c r="BA91" s="16">
        <f t="shared" ref="BA91" si="1681">IF($H90*T91&gt;150000,ROUNDDOWN(($H90*T91-150000)*6%*45%,0),0)</f>
        <v>0</v>
      </c>
      <c r="BB91" s="16">
        <f t="shared" ref="BB91" si="1682">IF($H90*U91&gt;150000,ROUNDDOWN(($H90*U91-150000)*6%*45%,0),0)</f>
        <v>0</v>
      </c>
      <c r="BC91" s="16">
        <f t="shared" ref="BC91" si="1683">IF($H90*V91&gt;150000,ROUNDDOWN(($H90*V91-150000)*6%*45%,0),0)</f>
        <v>0</v>
      </c>
      <c r="BD91" s="16">
        <f t="shared" ref="BD91" si="1684">IF($H90*W91&gt;150000,ROUNDDOWN(($H90*W91-150000)*6%*45%,0),0)</f>
        <v>0</v>
      </c>
      <c r="BE91" s="17">
        <f t="shared" ref="BE91" si="1685">IF($H90*X91&gt;150000,ROUNDDOWN(($H90*X91-150000)*6%*45%,0),0)</f>
        <v>0</v>
      </c>
      <c r="BF91" s="28"/>
    </row>
    <row r="92" spans="1:58" x14ac:dyDescent="0.3">
      <c r="A92" s="142">
        <v>43</v>
      </c>
      <c r="B92" s="116" t="str">
        <f t="shared" ref="B92" si="1686">IF(LEN(D92)&gt;1,IF(VALUE(MID(RIGHT(D92,7),1,1))&gt;4,"외국인",IF(VALUE(RIGHT(11-MOD((MID(D92,1,1)*2+MID(D92,2,1)*3+MID(D92,3,1)*4+MID(D92,4,1)*5+MID(D92,5,1)*6+MID(D92,6,1)*7+MID(RIGHT(D92,7),1,1)*8+MID(RIGHT(D92,7),2,1)*9+MID(RIGHT(D92,7),3,1)*2+MID(RIGHT(D92,7),4,1)*3+MID(RIGHT(D92,7),5,1)*4+MID(RIGHT(D92,7),6,1)*5),11),1))=VALUE(RIGHT(D92,1)),"","오류")),"")</f>
        <v/>
      </c>
      <c r="C92" s="116"/>
      <c r="D92" s="143"/>
      <c r="E92" s="116"/>
      <c r="F92" s="116"/>
      <c r="G92" s="144"/>
      <c r="H92" s="112"/>
      <c r="I92" s="38"/>
      <c r="J92" s="39"/>
      <c r="K92" s="39"/>
      <c r="L92" s="39"/>
      <c r="M92" s="39"/>
      <c r="N92" s="39"/>
      <c r="O92" s="39"/>
      <c r="P92" s="39"/>
      <c r="Q92" s="39"/>
      <c r="R92" s="39"/>
      <c r="S92" s="40"/>
      <c r="T92" s="40"/>
      <c r="U92" s="39"/>
      <c r="V92" s="39"/>
      <c r="W92" s="41"/>
      <c r="X92" s="42"/>
      <c r="Y92" s="145">
        <f>SUM(I92:X93)</f>
        <v>0</v>
      </c>
      <c r="Z92" s="116">
        <f>COUNTIF(I92:X93,"&gt;0")</f>
        <v>0</v>
      </c>
      <c r="AA92" s="112">
        <f t="shared" ref="AA92" si="1687">H92*Y92</f>
        <v>0</v>
      </c>
      <c r="AB92" s="62">
        <f t="shared" ref="AB92" si="1688">IF(AO92&lt;1000, 0, AO92)</f>
        <v>0</v>
      </c>
      <c r="AC92" s="63">
        <f ca="1">IF(IFERROR($AN92&lt;65,FALSE), IF(B92&lt;&gt;"외국인", ROUNDDOWN(AA92*$AH$1%,-1), IF(AND(AM92&lt;&gt;"", ISNUMBER(SEARCH(LEFT(SUBSTITUTE(AM92, "-",""),2), "F2_F5_F6"))), ROUNDDOWN(AA92*$AH$1%,-1), 0)),0)</f>
        <v>0</v>
      </c>
      <c r="AD92" s="64">
        <f t="shared" ref="AD92" si="1689">IF(Z92&gt;=$AJ$1,ROUNDDOWN(AA92*$AH$2%,-1),0)</f>
        <v>0</v>
      </c>
      <c r="AE92" s="112">
        <f t="shared" ref="AE92" ca="1" si="1690">AB92+AC92+AB93+AC93+AD92+AD93</f>
        <v>0</v>
      </c>
      <c r="AF92" s="112">
        <f t="shared" ref="AF92" ca="1" si="1691">AA92-AE92</f>
        <v>0</v>
      </c>
      <c r="AG92" s="116"/>
      <c r="AH92" s="116"/>
      <c r="AI92" s="116"/>
      <c r="AJ92" s="116"/>
      <c r="AK92" s="149"/>
      <c r="AL92" s="149"/>
      <c r="AM92" s="115"/>
      <c r="AN92" s="113" t="str">
        <f t="shared" ref="AN92" ca="1" si="1692">IFERROR(DATEDIF(DATE(IF(ISNUMBER(FIND(MID( SUBSTITUTE(D92, "-",""), 7, 1), "3478")), 2000, 1900)+MID(D92,1,2), MID(D92,3,2), MID(D92,5,2)), TODAY(), "Y"),"")</f>
        <v/>
      </c>
      <c r="AO92" s="112">
        <f>ROUNDDOWN(SUM(AP92:BE93),-1)</f>
        <v>0</v>
      </c>
      <c r="AP92" s="11">
        <f t="shared" ref="AP92" si="1693">IF($H92*I92&gt;150000,ROUNDDOWN(($H92*I92-150000)*6%*45%,0),0)</f>
        <v>0</v>
      </c>
      <c r="AQ92" s="12">
        <f t="shared" ref="AQ92" si="1694">IF($H92*J92&gt;150000,ROUNDDOWN(($H92*J92-150000)*6%*45%,0),0)</f>
        <v>0</v>
      </c>
      <c r="AR92" s="12">
        <f t="shared" ref="AR92" si="1695">IF($H92*K92&gt;150000,ROUNDDOWN(($H92*K92-150000)*6%*45%,0),0)</f>
        <v>0</v>
      </c>
      <c r="AS92" s="12">
        <f t="shared" ref="AS92" si="1696">IF($H92*L92&gt;150000,ROUNDDOWN(($H92*L92-150000)*6%*45%,0),0)</f>
        <v>0</v>
      </c>
      <c r="AT92" s="12">
        <f t="shared" ref="AT92" si="1697">IF($H92*M92&gt;150000,ROUNDDOWN(($H92*M92-150000)*6%*45%,0),0)</f>
        <v>0</v>
      </c>
      <c r="AU92" s="12">
        <f t="shared" ref="AU92" si="1698">IF($H92*N92&gt;150000,ROUNDDOWN(($H92*N92-150000)*6%*45%,0),0)</f>
        <v>0</v>
      </c>
      <c r="AV92" s="12">
        <f t="shared" ref="AV92" si="1699">IF($H92*O92&gt;150000,ROUNDDOWN(($H92*O92-150000)*6%*45%,0),0)</f>
        <v>0</v>
      </c>
      <c r="AW92" s="12">
        <f t="shared" ref="AW92" si="1700">IF($H92*P92&gt;150000,ROUNDDOWN(($H92*P92-150000)*6%*45%,0),0)</f>
        <v>0</v>
      </c>
      <c r="AX92" s="12">
        <f t="shared" ref="AX92" si="1701">IF($H92*Q92&gt;150000,ROUNDDOWN(($H92*Q92-150000)*6%*45%,0),0)</f>
        <v>0</v>
      </c>
      <c r="AY92" s="12">
        <f t="shared" ref="AY92" si="1702">IF($H92*R92&gt;150000,ROUNDDOWN(($H92*R92-150000)*6%*45%,0),0)</f>
        <v>0</v>
      </c>
      <c r="AZ92" s="12">
        <f t="shared" ref="AZ92" si="1703">IF($H92*S92&gt;150000,ROUNDDOWN(($H92*S92-150000)*6%*45%,0),0)</f>
        <v>0</v>
      </c>
      <c r="BA92" s="12">
        <f t="shared" ref="BA92" si="1704">IF($H92*T92&gt;150000,ROUNDDOWN(($H92*T92-150000)*6%*45%,0),0)</f>
        <v>0</v>
      </c>
      <c r="BB92" s="12">
        <f t="shared" ref="BB92" si="1705">IF($H92*U92&gt;150000,ROUNDDOWN(($H92*U92-150000)*6%*45%,0),0)</f>
        <v>0</v>
      </c>
      <c r="BC92" s="12">
        <f t="shared" ref="BC92" si="1706">IF($H92*V92&gt;150000,ROUNDDOWN(($H92*V92-150000)*6%*45%,0),0)</f>
        <v>0</v>
      </c>
      <c r="BD92" s="13">
        <f t="shared" ref="BD92" si="1707">IF($H92*W92&gt;150000,ROUNDDOWN(($H92*W92-150000)*6%*45%,0),0)</f>
        <v>0</v>
      </c>
      <c r="BE92" s="14"/>
    </row>
    <row r="93" spans="1:58" x14ac:dyDescent="0.3">
      <c r="A93" s="142"/>
      <c r="B93" s="116"/>
      <c r="C93" s="116"/>
      <c r="D93" s="143"/>
      <c r="E93" s="116"/>
      <c r="F93" s="116"/>
      <c r="G93" s="144"/>
      <c r="H93" s="112"/>
      <c r="I93" s="43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5"/>
      <c r="Y93" s="145"/>
      <c r="Z93" s="116"/>
      <c r="AA93" s="112"/>
      <c r="AB93" s="65">
        <f t="shared" ref="AB93" si="1708">ROUNDDOWN(AB92*10%,-1)</f>
        <v>0</v>
      </c>
      <c r="AC93" s="66">
        <f t="shared" ref="AC93" ca="1" si="1709">IFERROR(IF(AND( OR(COUNTIF(I92:X93, "&gt;0")&gt;=$AJ$1, AA92&gt;=$AJ$4),AN92&lt;60,AA92&lt;=$AH$5),ROUNDDOWN(ROUNDDOWN(AA92,-3)*$AH$4%,-1),IF(AND(COUNTIF(I92:X93,"&gt;0")&gt;=$AJ$1,AN92&lt;60,AA92&gt;$AH$5),$AJ$5,0)),0)</f>
        <v>0</v>
      </c>
      <c r="AD93" s="67">
        <f t="shared" ref="AD93" si="1710">IF(Z92&gt;=$AJ$1,ROUNDDOWN(AD92*$AH$3%/($AH$2*2%),-1),0)</f>
        <v>0</v>
      </c>
      <c r="AE93" s="112"/>
      <c r="AF93" s="112"/>
      <c r="AG93" s="116"/>
      <c r="AH93" s="116"/>
      <c r="AI93" s="116"/>
      <c r="AJ93" s="116"/>
      <c r="AK93" s="149"/>
      <c r="AL93" s="149"/>
      <c r="AM93" s="115"/>
      <c r="AN93" s="113"/>
      <c r="AO93" s="112"/>
      <c r="AP93" s="15">
        <f t="shared" ref="AP93" si="1711">IF($H92*I93&gt;150000,ROUNDDOWN(($H92*I93-150000)*6%*45%,0),0)</f>
        <v>0</v>
      </c>
      <c r="AQ93" s="16">
        <f t="shared" ref="AQ93" si="1712">IF($H92*J93&gt;150000,ROUNDDOWN(($H92*J93-150000)*6%*45%,0),0)</f>
        <v>0</v>
      </c>
      <c r="AR93" s="16">
        <f t="shared" ref="AR93" si="1713">IF($H92*K93&gt;150000,ROUNDDOWN(($H92*K93-150000)*6%*45%,0),0)</f>
        <v>0</v>
      </c>
      <c r="AS93" s="16">
        <f t="shared" ref="AS93" si="1714">IF($H92*L93&gt;150000,ROUNDDOWN(($H92*L93-150000)*6%*45%,0),0)</f>
        <v>0</v>
      </c>
      <c r="AT93" s="16">
        <f t="shared" ref="AT93" si="1715">IF($H92*M93&gt;150000,ROUNDDOWN(($H92*M93-150000)*6%*45%,0),0)</f>
        <v>0</v>
      </c>
      <c r="AU93" s="16">
        <f t="shared" ref="AU93" si="1716">IF($H92*N93&gt;150000,ROUNDDOWN(($H92*N93-150000)*6%*45%,0),0)</f>
        <v>0</v>
      </c>
      <c r="AV93" s="16">
        <f t="shared" ref="AV93" si="1717">IF($H92*O93&gt;150000,ROUNDDOWN(($H92*O93-150000)*6%*45%,0),0)</f>
        <v>0</v>
      </c>
      <c r="AW93" s="16">
        <f t="shared" ref="AW93" si="1718">IF($H92*P93&gt;150000,ROUNDDOWN(($H92*P93-150000)*6%*45%,0),0)</f>
        <v>0</v>
      </c>
      <c r="AX93" s="16">
        <f t="shared" ref="AX93" si="1719">IF($H92*Q93&gt;150000,ROUNDDOWN(($H92*Q93-150000)*6%*45%,0),0)</f>
        <v>0</v>
      </c>
      <c r="AY93" s="16">
        <f t="shared" ref="AY93" si="1720">IF($H92*R93&gt;150000,ROUNDDOWN(($H92*R93-150000)*6%*45%,0),0)</f>
        <v>0</v>
      </c>
      <c r="AZ93" s="16">
        <f t="shared" ref="AZ93" si="1721">IF($H92*S93&gt;150000,ROUNDDOWN(($H92*S93-150000)*6%*45%,0),0)</f>
        <v>0</v>
      </c>
      <c r="BA93" s="16">
        <f t="shared" ref="BA93" si="1722">IF($H92*T93&gt;150000,ROUNDDOWN(($H92*T93-150000)*6%*45%,0),0)</f>
        <v>0</v>
      </c>
      <c r="BB93" s="16">
        <f t="shared" ref="BB93" si="1723">IF($H92*U93&gt;150000,ROUNDDOWN(($H92*U93-150000)*6%*45%,0),0)</f>
        <v>0</v>
      </c>
      <c r="BC93" s="16">
        <f t="shared" ref="BC93" si="1724">IF($H92*V93&gt;150000,ROUNDDOWN(($H92*V93-150000)*6%*45%,0),0)</f>
        <v>0</v>
      </c>
      <c r="BD93" s="16">
        <f t="shared" ref="BD93" si="1725">IF($H92*W93&gt;150000,ROUNDDOWN(($H92*W93-150000)*6%*45%,0),0)</f>
        <v>0</v>
      </c>
      <c r="BE93" s="17">
        <f t="shared" ref="BE93" si="1726">IF($H92*X93&gt;150000,ROUNDDOWN(($H92*X93-150000)*6%*45%,0),0)</f>
        <v>0</v>
      </c>
      <c r="BF93" s="28"/>
    </row>
    <row r="94" spans="1:58" x14ac:dyDescent="0.3">
      <c r="A94" s="142">
        <v>44</v>
      </c>
      <c r="B94" s="116" t="str">
        <f t="shared" ref="B94" si="1727">IF(LEN(D94)&gt;1,IF(VALUE(MID(RIGHT(D94,7),1,1))&gt;4,"외국인",IF(VALUE(RIGHT(11-MOD((MID(D94,1,1)*2+MID(D94,2,1)*3+MID(D94,3,1)*4+MID(D94,4,1)*5+MID(D94,5,1)*6+MID(D94,6,1)*7+MID(RIGHT(D94,7),1,1)*8+MID(RIGHT(D94,7),2,1)*9+MID(RIGHT(D94,7),3,1)*2+MID(RIGHT(D94,7),4,1)*3+MID(RIGHT(D94,7),5,1)*4+MID(RIGHT(D94,7),6,1)*5),11),1))=VALUE(RIGHT(D94,1)),"","오류")),"")</f>
        <v/>
      </c>
      <c r="C94" s="116"/>
      <c r="D94" s="143"/>
      <c r="E94" s="116"/>
      <c r="F94" s="116"/>
      <c r="G94" s="144"/>
      <c r="H94" s="112"/>
      <c r="I94" s="38"/>
      <c r="J94" s="39"/>
      <c r="K94" s="39"/>
      <c r="L94" s="39"/>
      <c r="M94" s="39"/>
      <c r="N94" s="39"/>
      <c r="O94" s="39"/>
      <c r="P94" s="39"/>
      <c r="Q94" s="39"/>
      <c r="R94" s="39"/>
      <c r="S94" s="40"/>
      <c r="T94" s="40"/>
      <c r="U94" s="39"/>
      <c r="V94" s="39"/>
      <c r="W94" s="41"/>
      <c r="X94" s="42"/>
      <c r="Y94" s="145">
        <f>SUM(I94:X95)</f>
        <v>0</v>
      </c>
      <c r="Z94" s="116">
        <f>COUNTIF(I94:X95,"&gt;0")</f>
        <v>0</v>
      </c>
      <c r="AA94" s="112">
        <f t="shared" ref="AA94" si="1728">H94*Y94</f>
        <v>0</v>
      </c>
      <c r="AB94" s="62">
        <f t="shared" ref="AB94" si="1729">IF(AO94&lt;1000, 0, AO94)</f>
        <v>0</v>
      </c>
      <c r="AC94" s="63">
        <f ca="1">IF(IFERROR($AN94&lt;65,FALSE), IF(B94&lt;&gt;"외국인", ROUNDDOWN(AA94*$AH$1%,-1), IF(AND(AM94&lt;&gt;"", ISNUMBER(SEARCH(LEFT(SUBSTITUTE(AM94, "-",""),2), "F2_F5_F6"))), ROUNDDOWN(AA94*$AH$1%,-1), 0)),0)</f>
        <v>0</v>
      </c>
      <c r="AD94" s="64">
        <f t="shared" ref="AD94" si="1730">IF(Z94&gt;=$AJ$1,ROUNDDOWN(AA94*$AH$2%,-1),0)</f>
        <v>0</v>
      </c>
      <c r="AE94" s="112">
        <f t="shared" ref="AE94" ca="1" si="1731">AB94+AC94+AB95+AC95+AD94+AD95</f>
        <v>0</v>
      </c>
      <c r="AF94" s="112">
        <f t="shared" ref="AF94" ca="1" si="1732">AA94-AE94</f>
        <v>0</v>
      </c>
      <c r="AG94" s="116"/>
      <c r="AH94" s="116"/>
      <c r="AI94" s="116"/>
      <c r="AJ94" s="116"/>
      <c r="AK94" s="149"/>
      <c r="AL94" s="149"/>
      <c r="AM94" s="115"/>
      <c r="AN94" s="113" t="str">
        <f t="shared" ref="AN94" ca="1" si="1733">IFERROR(DATEDIF(DATE(IF(ISNUMBER(FIND(MID( SUBSTITUTE(D94, "-",""), 7, 1), "3478")), 2000, 1900)+MID(D94,1,2), MID(D94,3,2), MID(D94,5,2)), TODAY(), "Y"),"")</f>
        <v/>
      </c>
      <c r="AO94" s="112">
        <f>ROUNDDOWN(SUM(AP94:BE95),-1)</f>
        <v>0</v>
      </c>
      <c r="AP94" s="11">
        <f t="shared" ref="AP94" si="1734">IF($H94*I94&gt;150000,ROUNDDOWN(($H94*I94-150000)*6%*45%,0),0)</f>
        <v>0</v>
      </c>
      <c r="AQ94" s="12">
        <f t="shared" ref="AQ94" si="1735">IF($H94*J94&gt;150000,ROUNDDOWN(($H94*J94-150000)*6%*45%,0),0)</f>
        <v>0</v>
      </c>
      <c r="AR94" s="12">
        <f t="shared" ref="AR94" si="1736">IF($H94*K94&gt;150000,ROUNDDOWN(($H94*K94-150000)*6%*45%,0),0)</f>
        <v>0</v>
      </c>
      <c r="AS94" s="12">
        <f t="shared" ref="AS94" si="1737">IF($H94*L94&gt;150000,ROUNDDOWN(($H94*L94-150000)*6%*45%,0),0)</f>
        <v>0</v>
      </c>
      <c r="AT94" s="12">
        <f t="shared" ref="AT94" si="1738">IF($H94*M94&gt;150000,ROUNDDOWN(($H94*M94-150000)*6%*45%,0),0)</f>
        <v>0</v>
      </c>
      <c r="AU94" s="12">
        <f t="shared" ref="AU94" si="1739">IF($H94*N94&gt;150000,ROUNDDOWN(($H94*N94-150000)*6%*45%,0),0)</f>
        <v>0</v>
      </c>
      <c r="AV94" s="12">
        <f t="shared" ref="AV94" si="1740">IF($H94*O94&gt;150000,ROUNDDOWN(($H94*O94-150000)*6%*45%,0),0)</f>
        <v>0</v>
      </c>
      <c r="AW94" s="12">
        <f t="shared" ref="AW94" si="1741">IF($H94*P94&gt;150000,ROUNDDOWN(($H94*P94-150000)*6%*45%,0),0)</f>
        <v>0</v>
      </c>
      <c r="AX94" s="12">
        <f t="shared" ref="AX94" si="1742">IF($H94*Q94&gt;150000,ROUNDDOWN(($H94*Q94-150000)*6%*45%,0),0)</f>
        <v>0</v>
      </c>
      <c r="AY94" s="12">
        <f t="shared" ref="AY94" si="1743">IF($H94*R94&gt;150000,ROUNDDOWN(($H94*R94-150000)*6%*45%,0),0)</f>
        <v>0</v>
      </c>
      <c r="AZ94" s="12">
        <f t="shared" ref="AZ94" si="1744">IF($H94*S94&gt;150000,ROUNDDOWN(($H94*S94-150000)*6%*45%,0),0)</f>
        <v>0</v>
      </c>
      <c r="BA94" s="12">
        <f t="shared" ref="BA94" si="1745">IF($H94*T94&gt;150000,ROUNDDOWN(($H94*T94-150000)*6%*45%,0),0)</f>
        <v>0</v>
      </c>
      <c r="BB94" s="12">
        <f t="shared" ref="BB94" si="1746">IF($H94*U94&gt;150000,ROUNDDOWN(($H94*U94-150000)*6%*45%,0),0)</f>
        <v>0</v>
      </c>
      <c r="BC94" s="12">
        <f t="shared" ref="BC94" si="1747">IF($H94*V94&gt;150000,ROUNDDOWN(($H94*V94-150000)*6%*45%,0),0)</f>
        <v>0</v>
      </c>
      <c r="BD94" s="13">
        <f t="shared" ref="BD94" si="1748">IF($H94*W94&gt;150000,ROUNDDOWN(($H94*W94-150000)*6%*45%,0),0)</f>
        <v>0</v>
      </c>
      <c r="BE94" s="14"/>
    </row>
    <row r="95" spans="1:58" x14ac:dyDescent="0.3">
      <c r="A95" s="142"/>
      <c r="B95" s="116"/>
      <c r="C95" s="116"/>
      <c r="D95" s="143"/>
      <c r="E95" s="116"/>
      <c r="F95" s="116"/>
      <c r="G95" s="144"/>
      <c r="H95" s="112"/>
      <c r="I95" s="43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5"/>
      <c r="Y95" s="145"/>
      <c r="Z95" s="116"/>
      <c r="AA95" s="112"/>
      <c r="AB95" s="65">
        <f t="shared" ref="AB95" si="1749">ROUNDDOWN(AB94*10%,-1)</f>
        <v>0</v>
      </c>
      <c r="AC95" s="66">
        <f t="shared" ref="AC95" ca="1" si="1750">IFERROR(IF(AND( OR(COUNTIF(I94:X95, "&gt;0")&gt;=$AJ$1, AA94&gt;=$AJ$4),AN94&lt;60,AA94&lt;=$AH$5),ROUNDDOWN(ROUNDDOWN(AA94,-3)*$AH$4%,-1),IF(AND(COUNTIF(I94:X95,"&gt;0")&gt;=$AJ$1,AN94&lt;60,AA94&gt;$AH$5),$AJ$5,0)),0)</f>
        <v>0</v>
      </c>
      <c r="AD95" s="67">
        <f t="shared" ref="AD95" si="1751">IF(Z94&gt;=$AJ$1,ROUNDDOWN(AD94*$AH$3%/($AH$2*2%),-1),0)</f>
        <v>0</v>
      </c>
      <c r="AE95" s="112"/>
      <c r="AF95" s="112"/>
      <c r="AG95" s="116"/>
      <c r="AH95" s="116"/>
      <c r="AI95" s="116"/>
      <c r="AJ95" s="116"/>
      <c r="AK95" s="149"/>
      <c r="AL95" s="149"/>
      <c r="AM95" s="115"/>
      <c r="AN95" s="113"/>
      <c r="AO95" s="112"/>
      <c r="AP95" s="15">
        <f t="shared" ref="AP95" si="1752">IF($H94*I95&gt;150000,ROUNDDOWN(($H94*I95-150000)*6%*45%,0),0)</f>
        <v>0</v>
      </c>
      <c r="AQ95" s="16">
        <f t="shared" ref="AQ95" si="1753">IF($H94*J95&gt;150000,ROUNDDOWN(($H94*J95-150000)*6%*45%,0),0)</f>
        <v>0</v>
      </c>
      <c r="AR95" s="16">
        <f t="shared" ref="AR95" si="1754">IF($H94*K95&gt;150000,ROUNDDOWN(($H94*K95-150000)*6%*45%,0),0)</f>
        <v>0</v>
      </c>
      <c r="AS95" s="16">
        <f t="shared" ref="AS95" si="1755">IF($H94*L95&gt;150000,ROUNDDOWN(($H94*L95-150000)*6%*45%,0),0)</f>
        <v>0</v>
      </c>
      <c r="AT95" s="16">
        <f t="shared" ref="AT95" si="1756">IF($H94*M95&gt;150000,ROUNDDOWN(($H94*M95-150000)*6%*45%,0),0)</f>
        <v>0</v>
      </c>
      <c r="AU95" s="16">
        <f t="shared" ref="AU95" si="1757">IF($H94*N95&gt;150000,ROUNDDOWN(($H94*N95-150000)*6%*45%,0),0)</f>
        <v>0</v>
      </c>
      <c r="AV95" s="16">
        <f t="shared" ref="AV95" si="1758">IF($H94*O95&gt;150000,ROUNDDOWN(($H94*O95-150000)*6%*45%,0),0)</f>
        <v>0</v>
      </c>
      <c r="AW95" s="16">
        <f t="shared" ref="AW95" si="1759">IF($H94*P95&gt;150000,ROUNDDOWN(($H94*P95-150000)*6%*45%,0),0)</f>
        <v>0</v>
      </c>
      <c r="AX95" s="16">
        <f t="shared" ref="AX95" si="1760">IF($H94*Q95&gt;150000,ROUNDDOWN(($H94*Q95-150000)*6%*45%,0),0)</f>
        <v>0</v>
      </c>
      <c r="AY95" s="16">
        <f t="shared" ref="AY95" si="1761">IF($H94*R95&gt;150000,ROUNDDOWN(($H94*R95-150000)*6%*45%,0),0)</f>
        <v>0</v>
      </c>
      <c r="AZ95" s="16">
        <f t="shared" ref="AZ95" si="1762">IF($H94*S95&gt;150000,ROUNDDOWN(($H94*S95-150000)*6%*45%,0),0)</f>
        <v>0</v>
      </c>
      <c r="BA95" s="16">
        <f t="shared" ref="BA95" si="1763">IF($H94*T95&gt;150000,ROUNDDOWN(($H94*T95-150000)*6%*45%,0),0)</f>
        <v>0</v>
      </c>
      <c r="BB95" s="16">
        <f t="shared" ref="BB95" si="1764">IF($H94*U95&gt;150000,ROUNDDOWN(($H94*U95-150000)*6%*45%,0),0)</f>
        <v>0</v>
      </c>
      <c r="BC95" s="16">
        <f t="shared" ref="BC95" si="1765">IF($H94*V95&gt;150000,ROUNDDOWN(($H94*V95-150000)*6%*45%,0),0)</f>
        <v>0</v>
      </c>
      <c r="BD95" s="16">
        <f t="shared" ref="BD95" si="1766">IF($H94*W95&gt;150000,ROUNDDOWN(($H94*W95-150000)*6%*45%,0),0)</f>
        <v>0</v>
      </c>
      <c r="BE95" s="17">
        <f t="shared" ref="BE95" si="1767">IF($H94*X95&gt;150000,ROUNDDOWN(($H94*X95-150000)*6%*45%,0),0)</f>
        <v>0</v>
      </c>
      <c r="BF95" s="28"/>
    </row>
    <row r="96" spans="1:58" x14ac:dyDescent="0.3">
      <c r="A96" s="142">
        <v>45</v>
      </c>
      <c r="B96" s="116" t="str">
        <f t="shared" ref="B96" si="1768">IF(LEN(D96)&gt;1,IF(VALUE(MID(RIGHT(D96,7),1,1))&gt;4,"외국인",IF(VALUE(RIGHT(11-MOD((MID(D96,1,1)*2+MID(D96,2,1)*3+MID(D96,3,1)*4+MID(D96,4,1)*5+MID(D96,5,1)*6+MID(D96,6,1)*7+MID(RIGHT(D96,7),1,1)*8+MID(RIGHT(D96,7),2,1)*9+MID(RIGHT(D96,7),3,1)*2+MID(RIGHT(D96,7),4,1)*3+MID(RIGHT(D96,7),5,1)*4+MID(RIGHT(D96,7),6,1)*5),11),1))=VALUE(RIGHT(D96,1)),"","오류")),"")</f>
        <v/>
      </c>
      <c r="C96" s="116"/>
      <c r="D96" s="143"/>
      <c r="E96" s="116"/>
      <c r="F96" s="116"/>
      <c r="G96" s="144"/>
      <c r="H96" s="112"/>
      <c r="I96" s="38"/>
      <c r="J96" s="39"/>
      <c r="K96" s="39"/>
      <c r="L96" s="39"/>
      <c r="M96" s="39"/>
      <c r="N96" s="39"/>
      <c r="O96" s="39"/>
      <c r="P96" s="39"/>
      <c r="Q96" s="39"/>
      <c r="R96" s="39"/>
      <c r="S96" s="40"/>
      <c r="T96" s="40"/>
      <c r="U96" s="39"/>
      <c r="V96" s="39"/>
      <c r="W96" s="41"/>
      <c r="X96" s="42"/>
      <c r="Y96" s="145">
        <f>SUM(I96:X97)</f>
        <v>0</v>
      </c>
      <c r="Z96" s="116">
        <f>COUNTIF(I96:X97,"&gt;0")</f>
        <v>0</v>
      </c>
      <c r="AA96" s="112">
        <f t="shared" ref="AA96" si="1769">H96*Y96</f>
        <v>0</v>
      </c>
      <c r="AB96" s="62">
        <f t="shared" ref="AB96" si="1770">IF(AO96&lt;1000, 0, AO96)</f>
        <v>0</v>
      </c>
      <c r="AC96" s="63">
        <f ca="1">IF(IFERROR($AN96&lt;65,FALSE), IF(B96&lt;&gt;"외국인", ROUNDDOWN(AA96*$AH$1%,-1), IF(AND(AM96&lt;&gt;"", ISNUMBER(SEARCH(LEFT(SUBSTITUTE(AM96, "-",""),2), "F2_F5_F6"))), ROUNDDOWN(AA96*$AH$1%,-1), 0)),0)</f>
        <v>0</v>
      </c>
      <c r="AD96" s="64">
        <f t="shared" ref="AD96" si="1771">IF(Z96&gt;=$AJ$1,ROUNDDOWN(AA96*$AH$2%,-1),0)</f>
        <v>0</v>
      </c>
      <c r="AE96" s="112">
        <f t="shared" ref="AE96" ca="1" si="1772">AB96+AC96+AB97+AC97+AD96+AD97</f>
        <v>0</v>
      </c>
      <c r="AF96" s="112">
        <f t="shared" ref="AF96" ca="1" si="1773">AA96-AE96</f>
        <v>0</v>
      </c>
      <c r="AG96" s="116"/>
      <c r="AH96" s="116"/>
      <c r="AI96" s="116"/>
      <c r="AJ96" s="116"/>
      <c r="AK96" s="149"/>
      <c r="AL96" s="149"/>
      <c r="AM96" s="115"/>
      <c r="AN96" s="113" t="str">
        <f t="shared" ref="AN96" ca="1" si="1774">IFERROR(DATEDIF(DATE(IF(ISNUMBER(FIND(MID( SUBSTITUTE(D96, "-",""), 7, 1), "3478")), 2000, 1900)+MID(D96,1,2), MID(D96,3,2), MID(D96,5,2)), TODAY(), "Y"),"")</f>
        <v/>
      </c>
      <c r="AO96" s="112">
        <f>ROUNDDOWN(SUM(AP96:BE97),-1)</f>
        <v>0</v>
      </c>
      <c r="AP96" s="11">
        <f t="shared" ref="AP96" si="1775">IF($H96*I96&gt;150000,ROUNDDOWN(($H96*I96-150000)*6%*45%,0),0)</f>
        <v>0</v>
      </c>
      <c r="AQ96" s="12">
        <f t="shared" ref="AQ96" si="1776">IF($H96*J96&gt;150000,ROUNDDOWN(($H96*J96-150000)*6%*45%,0),0)</f>
        <v>0</v>
      </c>
      <c r="AR96" s="12">
        <f t="shared" ref="AR96" si="1777">IF($H96*K96&gt;150000,ROUNDDOWN(($H96*K96-150000)*6%*45%,0),0)</f>
        <v>0</v>
      </c>
      <c r="AS96" s="12">
        <f t="shared" ref="AS96" si="1778">IF($H96*L96&gt;150000,ROUNDDOWN(($H96*L96-150000)*6%*45%,0),0)</f>
        <v>0</v>
      </c>
      <c r="AT96" s="12">
        <f t="shared" ref="AT96" si="1779">IF($H96*M96&gt;150000,ROUNDDOWN(($H96*M96-150000)*6%*45%,0),0)</f>
        <v>0</v>
      </c>
      <c r="AU96" s="12">
        <f t="shared" ref="AU96" si="1780">IF($H96*N96&gt;150000,ROUNDDOWN(($H96*N96-150000)*6%*45%,0),0)</f>
        <v>0</v>
      </c>
      <c r="AV96" s="12">
        <f t="shared" ref="AV96" si="1781">IF($H96*O96&gt;150000,ROUNDDOWN(($H96*O96-150000)*6%*45%,0),0)</f>
        <v>0</v>
      </c>
      <c r="AW96" s="12">
        <f t="shared" ref="AW96" si="1782">IF($H96*P96&gt;150000,ROUNDDOWN(($H96*P96-150000)*6%*45%,0),0)</f>
        <v>0</v>
      </c>
      <c r="AX96" s="12">
        <f t="shared" ref="AX96" si="1783">IF($H96*Q96&gt;150000,ROUNDDOWN(($H96*Q96-150000)*6%*45%,0),0)</f>
        <v>0</v>
      </c>
      <c r="AY96" s="12">
        <f t="shared" ref="AY96" si="1784">IF($H96*R96&gt;150000,ROUNDDOWN(($H96*R96-150000)*6%*45%,0),0)</f>
        <v>0</v>
      </c>
      <c r="AZ96" s="12">
        <f t="shared" ref="AZ96" si="1785">IF($H96*S96&gt;150000,ROUNDDOWN(($H96*S96-150000)*6%*45%,0),0)</f>
        <v>0</v>
      </c>
      <c r="BA96" s="12">
        <f t="shared" ref="BA96" si="1786">IF($H96*T96&gt;150000,ROUNDDOWN(($H96*T96-150000)*6%*45%,0),0)</f>
        <v>0</v>
      </c>
      <c r="BB96" s="12">
        <f t="shared" ref="BB96" si="1787">IF($H96*U96&gt;150000,ROUNDDOWN(($H96*U96-150000)*6%*45%,0),0)</f>
        <v>0</v>
      </c>
      <c r="BC96" s="12">
        <f t="shared" ref="BC96" si="1788">IF($H96*V96&gt;150000,ROUNDDOWN(($H96*V96-150000)*6%*45%,0),0)</f>
        <v>0</v>
      </c>
      <c r="BD96" s="13">
        <f t="shared" ref="BD96" si="1789">IF($H96*W96&gt;150000,ROUNDDOWN(($H96*W96-150000)*6%*45%,0),0)</f>
        <v>0</v>
      </c>
      <c r="BE96" s="14"/>
    </row>
    <row r="97" spans="1:58" x14ac:dyDescent="0.3">
      <c r="A97" s="142"/>
      <c r="B97" s="116"/>
      <c r="C97" s="116"/>
      <c r="D97" s="143"/>
      <c r="E97" s="116"/>
      <c r="F97" s="116"/>
      <c r="G97" s="144"/>
      <c r="H97" s="112"/>
      <c r="I97" s="43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5"/>
      <c r="Y97" s="145"/>
      <c r="Z97" s="116"/>
      <c r="AA97" s="112"/>
      <c r="AB97" s="65">
        <f t="shared" ref="AB97" si="1790">ROUNDDOWN(AB96*10%,-1)</f>
        <v>0</v>
      </c>
      <c r="AC97" s="66">
        <f t="shared" ref="AC97" ca="1" si="1791">IFERROR(IF(AND( OR(COUNTIF(I96:X97, "&gt;0")&gt;=$AJ$1, AA96&gt;=$AJ$4),AN96&lt;60,AA96&lt;=$AH$5),ROUNDDOWN(ROUNDDOWN(AA96,-3)*$AH$4%,-1),IF(AND(COUNTIF(I96:X97,"&gt;0")&gt;=$AJ$1,AN96&lt;60,AA96&gt;$AH$5),$AJ$5,0)),0)</f>
        <v>0</v>
      </c>
      <c r="AD97" s="67">
        <f t="shared" ref="AD97" si="1792">IF(Z96&gt;=$AJ$1,ROUNDDOWN(AD96*$AH$3%/($AH$2*2%),-1),0)</f>
        <v>0</v>
      </c>
      <c r="AE97" s="112"/>
      <c r="AF97" s="112"/>
      <c r="AG97" s="116"/>
      <c r="AH97" s="116"/>
      <c r="AI97" s="116"/>
      <c r="AJ97" s="116"/>
      <c r="AK97" s="149"/>
      <c r="AL97" s="149"/>
      <c r="AM97" s="115"/>
      <c r="AN97" s="113"/>
      <c r="AO97" s="112"/>
      <c r="AP97" s="15">
        <f t="shared" ref="AP97" si="1793">IF($H96*I97&gt;150000,ROUNDDOWN(($H96*I97-150000)*6%*45%,0),0)</f>
        <v>0</v>
      </c>
      <c r="AQ97" s="16">
        <f t="shared" ref="AQ97" si="1794">IF($H96*J97&gt;150000,ROUNDDOWN(($H96*J97-150000)*6%*45%,0),0)</f>
        <v>0</v>
      </c>
      <c r="AR97" s="16">
        <f t="shared" ref="AR97" si="1795">IF($H96*K97&gt;150000,ROUNDDOWN(($H96*K97-150000)*6%*45%,0),0)</f>
        <v>0</v>
      </c>
      <c r="AS97" s="16">
        <f t="shared" ref="AS97" si="1796">IF($H96*L97&gt;150000,ROUNDDOWN(($H96*L97-150000)*6%*45%,0),0)</f>
        <v>0</v>
      </c>
      <c r="AT97" s="16">
        <f t="shared" ref="AT97" si="1797">IF($H96*M97&gt;150000,ROUNDDOWN(($H96*M97-150000)*6%*45%,0),0)</f>
        <v>0</v>
      </c>
      <c r="AU97" s="16">
        <f t="shared" ref="AU97" si="1798">IF($H96*N97&gt;150000,ROUNDDOWN(($H96*N97-150000)*6%*45%,0),0)</f>
        <v>0</v>
      </c>
      <c r="AV97" s="16">
        <f t="shared" ref="AV97" si="1799">IF($H96*O97&gt;150000,ROUNDDOWN(($H96*O97-150000)*6%*45%,0),0)</f>
        <v>0</v>
      </c>
      <c r="AW97" s="16">
        <f t="shared" ref="AW97" si="1800">IF($H96*P97&gt;150000,ROUNDDOWN(($H96*P97-150000)*6%*45%,0),0)</f>
        <v>0</v>
      </c>
      <c r="AX97" s="16">
        <f t="shared" ref="AX97" si="1801">IF($H96*Q97&gt;150000,ROUNDDOWN(($H96*Q97-150000)*6%*45%,0),0)</f>
        <v>0</v>
      </c>
      <c r="AY97" s="16">
        <f t="shared" ref="AY97" si="1802">IF($H96*R97&gt;150000,ROUNDDOWN(($H96*R97-150000)*6%*45%,0),0)</f>
        <v>0</v>
      </c>
      <c r="AZ97" s="16">
        <f t="shared" ref="AZ97" si="1803">IF($H96*S97&gt;150000,ROUNDDOWN(($H96*S97-150000)*6%*45%,0),0)</f>
        <v>0</v>
      </c>
      <c r="BA97" s="16">
        <f t="shared" ref="BA97" si="1804">IF($H96*T97&gt;150000,ROUNDDOWN(($H96*T97-150000)*6%*45%,0),0)</f>
        <v>0</v>
      </c>
      <c r="BB97" s="16">
        <f t="shared" ref="BB97" si="1805">IF($H96*U97&gt;150000,ROUNDDOWN(($H96*U97-150000)*6%*45%,0),0)</f>
        <v>0</v>
      </c>
      <c r="BC97" s="16">
        <f t="shared" ref="BC97" si="1806">IF($H96*V97&gt;150000,ROUNDDOWN(($H96*V97-150000)*6%*45%,0),0)</f>
        <v>0</v>
      </c>
      <c r="BD97" s="16">
        <f t="shared" ref="BD97" si="1807">IF($H96*W97&gt;150000,ROUNDDOWN(($H96*W97-150000)*6%*45%,0),0)</f>
        <v>0</v>
      </c>
      <c r="BE97" s="17">
        <f t="shared" ref="BE97" si="1808">IF($H96*X97&gt;150000,ROUNDDOWN(($H96*X97-150000)*6%*45%,0),0)</f>
        <v>0</v>
      </c>
      <c r="BF97" s="28"/>
    </row>
    <row r="98" spans="1:58" x14ac:dyDescent="0.3">
      <c r="A98" s="142">
        <v>46</v>
      </c>
      <c r="B98" s="116" t="str">
        <f t="shared" ref="B98" si="1809">IF(LEN(D98)&gt;1,IF(VALUE(MID(RIGHT(D98,7),1,1))&gt;4,"외국인",IF(VALUE(RIGHT(11-MOD((MID(D98,1,1)*2+MID(D98,2,1)*3+MID(D98,3,1)*4+MID(D98,4,1)*5+MID(D98,5,1)*6+MID(D98,6,1)*7+MID(RIGHT(D98,7),1,1)*8+MID(RIGHT(D98,7),2,1)*9+MID(RIGHT(D98,7),3,1)*2+MID(RIGHT(D98,7),4,1)*3+MID(RIGHT(D98,7),5,1)*4+MID(RIGHT(D98,7),6,1)*5),11),1))=VALUE(RIGHT(D98,1)),"","오류")),"")</f>
        <v/>
      </c>
      <c r="C98" s="116"/>
      <c r="D98" s="143"/>
      <c r="E98" s="116"/>
      <c r="F98" s="116"/>
      <c r="G98" s="144"/>
      <c r="H98" s="112"/>
      <c r="I98" s="38"/>
      <c r="J98" s="39"/>
      <c r="K98" s="39"/>
      <c r="L98" s="39"/>
      <c r="M98" s="39"/>
      <c r="N98" s="39"/>
      <c r="O98" s="39"/>
      <c r="P98" s="39"/>
      <c r="Q98" s="39"/>
      <c r="R98" s="39"/>
      <c r="S98" s="40"/>
      <c r="T98" s="40"/>
      <c r="U98" s="39"/>
      <c r="V98" s="39"/>
      <c r="W98" s="41"/>
      <c r="X98" s="42"/>
      <c r="Y98" s="145">
        <f>SUM(I98:X99)</f>
        <v>0</v>
      </c>
      <c r="Z98" s="116">
        <f>COUNTIF(I98:X99,"&gt;0")</f>
        <v>0</v>
      </c>
      <c r="AA98" s="112">
        <f t="shared" ref="AA98" si="1810">H98*Y98</f>
        <v>0</v>
      </c>
      <c r="AB98" s="62">
        <f t="shared" ref="AB98" si="1811">IF(AO98&lt;1000, 0, AO98)</f>
        <v>0</v>
      </c>
      <c r="AC98" s="63">
        <f ca="1">IF(IFERROR($AN98&lt;65,FALSE), IF(B98&lt;&gt;"외국인", ROUNDDOWN(AA98*$AH$1%,-1), IF(AND(AM98&lt;&gt;"", ISNUMBER(SEARCH(LEFT(SUBSTITUTE(AM98, "-",""),2), "F2_F5_F6"))), ROUNDDOWN(AA98*$AH$1%,-1), 0)),0)</f>
        <v>0</v>
      </c>
      <c r="AD98" s="64">
        <f t="shared" ref="AD98" si="1812">IF(Z98&gt;=$AJ$1,ROUNDDOWN(AA98*$AH$2%,-1),0)</f>
        <v>0</v>
      </c>
      <c r="AE98" s="112">
        <f t="shared" ref="AE98" ca="1" si="1813">AB98+AC98+AB99+AC99+AD98+AD99</f>
        <v>0</v>
      </c>
      <c r="AF98" s="112">
        <f t="shared" ref="AF98" ca="1" si="1814">AA98-AE98</f>
        <v>0</v>
      </c>
      <c r="AG98" s="116"/>
      <c r="AH98" s="116"/>
      <c r="AI98" s="116"/>
      <c r="AJ98" s="116"/>
      <c r="AK98" s="149"/>
      <c r="AL98" s="149"/>
      <c r="AM98" s="115"/>
      <c r="AN98" s="113" t="str">
        <f t="shared" ref="AN98" ca="1" si="1815">IFERROR(DATEDIF(DATE(IF(ISNUMBER(FIND(MID( SUBSTITUTE(D98, "-",""), 7, 1), "3478")), 2000, 1900)+MID(D98,1,2), MID(D98,3,2), MID(D98,5,2)), TODAY(), "Y"),"")</f>
        <v/>
      </c>
      <c r="AO98" s="112">
        <f>ROUNDDOWN(SUM(AP98:BE99),-1)</f>
        <v>0</v>
      </c>
      <c r="AP98" s="11">
        <f t="shared" ref="AP98" si="1816">IF($H98*I98&gt;150000,ROUNDDOWN(($H98*I98-150000)*6%*45%,0),0)</f>
        <v>0</v>
      </c>
      <c r="AQ98" s="12">
        <f t="shared" ref="AQ98" si="1817">IF($H98*J98&gt;150000,ROUNDDOWN(($H98*J98-150000)*6%*45%,0),0)</f>
        <v>0</v>
      </c>
      <c r="AR98" s="12">
        <f t="shared" ref="AR98" si="1818">IF($H98*K98&gt;150000,ROUNDDOWN(($H98*K98-150000)*6%*45%,0),0)</f>
        <v>0</v>
      </c>
      <c r="AS98" s="12">
        <f t="shared" ref="AS98" si="1819">IF($H98*L98&gt;150000,ROUNDDOWN(($H98*L98-150000)*6%*45%,0),0)</f>
        <v>0</v>
      </c>
      <c r="AT98" s="12">
        <f t="shared" ref="AT98" si="1820">IF($H98*M98&gt;150000,ROUNDDOWN(($H98*M98-150000)*6%*45%,0),0)</f>
        <v>0</v>
      </c>
      <c r="AU98" s="12">
        <f t="shared" ref="AU98" si="1821">IF($H98*N98&gt;150000,ROUNDDOWN(($H98*N98-150000)*6%*45%,0),0)</f>
        <v>0</v>
      </c>
      <c r="AV98" s="12">
        <f t="shared" ref="AV98" si="1822">IF($H98*O98&gt;150000,ROUNDDOWN(($H98*O98-150000)*6%*45%,0),0)</f>
        <v>0</v>
      </c>
      <c r="AW98" s="12">
        <f t="shared" ref="AW98" si="1823">IF($H98*P98&gt;150000,ROUNDDOWN(($H98*P98-150000)*6%*45%,0),0)</f>
        <v>0</v>
      </c>
      <c r="AX98" s="12">
        <f t="shared" ref="AX98" si="1824">IF($H98*Q98&gt;150000,ROUNDDOWN(($H98*Q98-150000)*6%*45%,0),0)</f>
        <v>0</v>
      </c>
      <c r="AY98" s="12">
        <f t="shared" ref="AY98" si="1825">IF($H98*R98&gt;150000,ROUNDDOWN(($H98*R98-150000)*6%*45%,0),0)</f>
        <v>0</v>
      </c>
      <c r="AZ98" s="12">
        <f t="shared" ref="AZ98" si="1826">IF($H98*S98&gt;150000,ROUNDDOWN(($H98*S98-150000)*6%*45%,0),0)</f>
        <v>0</v>
      </c>
      <c r="BA98" s="12">
        <f t="shared" ref="BA98" si="1827">IF($H98*T98&gt;150000,ROUNDDOWN(($H98*T98-150000)*6%*45%,0),0)</f>
        <v>0</v>
      </c>
      <c r="BB98" s="12">
        <f t="shared" ref="BB98" si="1828">IF($H98*U98&gt;150000,ROUNDDOWN(($H98*U98-150000)*6%*45%,0),0)</f>
        <v>0</v>
      </c>
      <c r="BC98" s="12">
        <f t="shared" ref="BC98" si="1829">IF($H98*V98&gt;150000,ROUNDDOWN(($H98*V98-150000)*6%*45%,0),0)</f>
        <v>0</v>
      </c>
      <c r="BD98" s="13">
        <f t="shared" ref="BD98" si="1830">IF($H98*W98&gt;150000,ROUNDDOWN(($H98*W98-150000)*6%*45%,0),0)</f>
        <v>0</v>
      </c>
      <c r="BE98" s="14"/>
    </row>
    <row r="99" spans="1:58" x14ac:dyDescent="0.3">
      <c r="A99" s="142"/>
      <c r="B99" s="116"/>
      <c r="C99" s="116"/>
      <c r="D99" s="143"/>
      <c r="E99" s="116"/>
      <c r="F99" s="116"/>
      <c r="G99" s="144"/>
      <c r="H99" s="112"/>
      <c r="I99" s="43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5"/>
      <c r="Y99" s="145"/>
      <c r="Z99" s="116"/>
      <c r="AA99" s="112"/>
      <c r="AB99" s="65">
        <f t="shared" ref="AB99" si="1831">ROUNDDOWN(AB98*10%,-1)</f>
        <v>0</v>
      </c>
      <c r="AC99" s="66">
        <f t="shared" ref="AC99" ca="1" si="1832">IFERROR(IF(AND( OR(COUNTIF(I98:X99, "&gt;0")&gt;=$AJ$1, AA98&gt;=$AJ$4),AN98&lt;60,AA98&lt;=$AH$5),ROUNDDOWN(ROUNDDOWN(AA98,-3)*$AH$4%,-1),IF(AND(COUNTIF(I98:X99,"&gt;0")&gt;=$AJ$1,AN98&lt;60,AA98&gt;$AH$5),$AJ$5,0)),0)</f>
        <v>0</v>
      </c>
      <c r="AD99" s="67">
        <f t="shared" ref="AD99" si="1833">IF(Z98&gt;=$AJ$1,ROUNDDOWN(AD98*$AH$3%/($AH$2*2%),-1),0)</f>
        <v>0</v>
      </c>
      <c r="AE99" s="112"/>
      <c r="AF99" s="112"/>
      <c r="AG99" s="116"/>
      <c r="AH99" s="116"/>
      <c r="AI99" s="116"/>
      <c r="AJ99" s="116"/>
      <c r="AK99" s="149"/>
      <c r="AL99" s="149"/>
      <c r="AM99" s="115"/>
      <c r="AN99" s="113"/>
      <c r="AO99" s="112"/>
      <c r="AP99" s="15">
        <f t="shared" ref="AP99" si="1834">IF($H98*I99&gt;150000,ROUNDDOWN(($H98*I99-150000)*6%*45%,0),0)</f>
        <v>0</v>
      </c>
      <c r="AQ99" s="16">
        <f t="shared" ref="AQ99" si="1835">IF($H98*J99&gt;150000,ROUNDDOWN(($H98*J99-150000)*6%*45%,0),0)</f>
        <v>0</v>
      </c>
      <c r="AR99" s="16">
        <f t="shared" ref="AR99" si="1836">IF($H98*K99&gt;150000,ROUNDDOWN(($H98*K99-150000)*6%*45%,0),0)</f>
        <v>0</v>
      </c>
      <c r="AS99" s="16">
        <f t="shared" ref="AS99" si="1837">IF($H98*L99&gt;150000,ROUNDDOWN(($H98*L99-150000)*6%*45%,0),0)</f>
        <v>0</v>
      </c>
      <c r="AT99" s="16">
        <f t="shared" ref="AT99" si="1838">IF($H98*M99&gt;150000,ROUNDDOWN(($H98*M99-150000)*6%*45%,0),0)</f>
        <v>0</v>
      </c>
      <c r="AU99" s="16">
        <f t="shared" ref="AU99" si="1839">IF($H98*N99&gt;150000,ROUNDDOWN(($H98*N99-150000)*6%*45%,0),0)</f>
        <v>0</v>
      </c>
      <c r="AV99" s="16">
        <f t="shared" ref="AV99" si="1840">IF($H98*O99&gt;150000,ROUNDDOWN(($H98*O99-150000)*6%*45%,0),0)</f>
        <v>0</v>
      </c>
      <c r="AW99" s="16">
        <f t="shared" ref="AW99" si="1841">IF($H98*P99&gt;150000,ROUNDDOWN(($H98*P99-150000)*6%*45%,0),0)</f>
        <v>0</v>
      </c>
      <c r="AX99" s="16">
        <f t="shared" ref="AX99" si="1842">IF($H98*Q99&gt;150000,ROUNDDOWN(($H98*Q99-150000)*6%*45%,0),0)</f>
        <v>0</v>
      </c>
      <c r="AY99" s="16">
        <f t="shared" ref="AY99" si="1843">IF($H98*R99&gt;150000,ROUNDDOWN(($H98*R99-150000)*6%*45%,0),0)</f>
        <v>0</v>
      </c>
      <c r="AZ99" s="16">
        <f t="shared" ref="AZ99" si="1844">IF($H98*S99&gt;150000,ROUNDDOWN(($H98*S99-150000)*6%*45%,0),0)</f>
        <v>0</v>
      </c>
      <c r="BA99" s="16">
        <f t="shared" ref="BA99" si="1845">IF($H98*T99&gt;150000,ROUNDDOWN(($H98*T99-150000)*6%*45%,0),0)</f>
        <v>0</v>
      </c>
      <c r="BB99" s="16">
        <f t="shared" ref="BB99" si="1846">IF($H98*U99&gt;150000,ROUNDDOWN(($H98*U99-150000)*6%*45%,0),0)</f>
        <v>0</v>
      </c>
      <c r="BC99" s="16">
        <f t="shared" ref="BC99" si="1847">IF($H98*V99&gt;150000,ROUNDDOWN(($H98*V99-150000)*6%*45%,0),0)</f>
        <v>0</v>
      </c>
      <c r="BD99" s="16">
        <f t="shared" ref="BD99" si="1848">IF($H98*W99&gt;150000,ROUNDDOWN(($H98*W99-150000)*6%*45%,0),0)</f>
        <v>0</v>
      </c>
      <c r="BE99" s="17">
        <f t="shared" ref="BE99" si="1849">IF($H98*X99&gt;150000,ROUNDDOWN(($H98*X99-150000)*6%*45%,0),0)</f>
        <v>0</v>
      </c>
      <c r="BF99" s="28"/>
    </row>
    <row r="100" spans="1:58" x14ac:dyDescent="0.3">
      <c r="A100" s="142">
        <v>47</v>
      </c>
      <c r="B100" s="116" t="str">
        <f t="shared" ref="B100" si="1850">IF(LEN(D100)&gt;1,IF(VALUE(MID(RIGHT(D100,7),1,1))&gt;4,"외국인",IF(VALUE(RIGHT(11-MOD((MID(D100,1,1)*2+MID(D100,2,1)*3+MID(D100,3,1)*4+MID(D100,4,1)*5+MID(D100,5,1)*6+MID(D100,6,1)*7+MID(RIGHT(D100,7),1,1)*8+MID(RIGHT(D100,7),2,1)*9+MID(RIGHT(D100,7),3,1)*2+MID(RIGHT(D100,7),4,1)*3+MID(RIGHT(D100,7),5,1)*4+MID(RIGHT(D100,7),6,1)*5),11),1))=VALUE(RIGHT(D100,1)),"","오류")),"")</f>
        <v/>
      </c>
      <c r="C100" s="116"/>
      <c r="D100" s="143"/>
      <c r="E100" s="116"/>
      <c r="F100" s="116"/>
      <c r="G100" s="144"/>
      <c r="H100" s="112"/>
      <c r="I100" s="38"/>
      <c r="J100" s="39"/>
      <c r="K100" s="39"/>
      <c r="L100" s="39"/>
      <c r="M100" s="39"/>
      <c r="N100" s="39"/>
      <c r="O100" s="39"/>
      <c r="P100" s="39"/>
      <c r="Q100" s="39"/>
      <c r="R100" s="39"/>
      <c r="S100" s="40"/>
      <c r="T100" s="40"/>
      <c r="U100" s="39"/>
      <c r="V100" s="39"/>
      <c r="W100" s="41"/>
      <c r="X100" s="42"/>
      <c r="Y100" s="145">
        <f>SUM(I100:X101)</f>
        <v>0</v>
      </c>
      <c r="Z100" s="116">
        <f>COUNTIF(I100:X101,"&gt;0")</f>
        <v>0</v>
      </c>
      <c r="AA100" s="112">
        <f t="shared" ref="AA100" si="1851">H100*Y100</f>
        <v>0</v>
      </c>
      <c r="AB100" s="62">
        <f t="shared" ref="AB100" si="1852">IF(AO100&lt;1000, 0, AO100)</f>
        <v>0</v>
      </c>
      <c r="AC100" s="63">
        <f ca="1">IF(IFERROR($AN100&lt;65,FALSE), IF(B100&lt;&gt;"외국인", ROUNDDOWN(AA100*$AH$1%,-1), IF(AND(AM100&lt;&gt;"", ISNUMBER(SEARCH(LEFT(SUBSTITUTE(AM100, "-",""),2), "F2_F5_F6"))), ROUNDDOWN(AA100*$AH$1%,-1), 0)),0)</f>
        <v>0</v>
      </c>
      <c r="AD100" s="64">
        <f t="shared" ref="AD100" si="1853">IF(Z100&gt;=$AJ$1,ROUNDDOWN(AA100*$AH$2%,-1),0)</f>
        <v>0</v>
      </c>
      <c r="AE100" s="112">
        <f t="shared" ref="AE100" ca="1" si="1854">AB100+AC100+AB101+AC101+AD100+AD101</f>
        <v>0</v>
      </c>
      <c r="AF100" s="112">
        <f t="shared" ref="AF100" ca="1" si="1855">AA100-AE100</f>
        <v>0</v>
      </c>
      <c r="AG100" s="116"/>
      <c r="AH100" s="116"/>
      <c r="AI100" s="116"/>
      <c r="AJ100" s="116"/>
      <c r="AK100" s="149"/>
      <c r="AL100" s="149"/>
      <c r="AM100" s="115"/>
      <c r="AN100" s="113" t="str">
        <f t="shared" ref="AN100" ca="1" si="1856">IFERROR(DATEDIF(DATE(IF(ISNUMBER(FIND(MID( SUBSTITUTE(D100, "-",""), 7, 1), "3478")), 2000, 1900)+MID(D100,1,2), MID(D100,3,2), MID(D100,5,2)), TODAY(), "Y"),"")</f>
        <v/>
      </c>
      <c r="AO100" s="112">
        <f>ROUNDDOWN(SUM(AP100:BE101),-1)</f>
        <v>0</v>
      </c>
      <c r="AP100" s="11">
        <f t="shared" ref="AP100" si="1857">IF($H100*I100&gt;150000,ROUNDDOWN(($H100*I100-150000)*6%*45%,0),0)</f>
        <v>0</v>
      </c>
      <c r="AQ100" s="12">
        <f t="shared" ref="AQ100" si="1858">IF($H100*J100&gt;150000,ROUNDDOWN(($H100*J100-150000)*6%*45%,0),0)</f>
        <v>0</v>
      </c>
      <c r="AR100" s="12">
        <f t="shared" ref="AR100" si="1859">IF($H100*K100&gt;150000,ROUNDDOWN(($H100*K100-150000)*6%*45%,0),0)</f>
        <v>0</v>
      </c>
      <c r="AS100" s="12">
        <f t="shared" ref="AS100" si="1860">IF($H100*L100&gt;150000,ROUNDDOWN(($H100*L100-150000)*6%*45%,0),0)</f>
        <v>0</v>
      </c>
      <c r="AT100" s="12">
        <f t="shared" ref="AT100" si="1861">IF($H100*M100&gt;150000,ROUNDDOWN(($H100*M100-150000)*6%*45%,0),0)</f>
        <v>0</v>
      </c>
      <c r="AU100" s="12">
        <f t="shared" ref="AU100" si="1862">IF($H100*N100&gt;150000,ROUNDDOWN(($H100*N100-150000)*6%*45%,0),0)</f>
        <v>0</v>
      </c>
      <c r="AV100" s="12">
        <f t="shared" ref="AV100" si="1863">IF($H100*O100&gt;150000,ROUNDDOWN(($H100*O100-150000)*6%*45%,0),0)</f>
        <v>0</v>
      </c>
      <c r="AW100" s="12">
        <f t="shared" ref="AW100" si="1864">IF($H100*P100&gt;150000,ROUNDDOWN(($H100*P100-150000)*6%*45%,0),0)</f>
        <v>0</v>
      </c>
      <c r="AX100" s="12">
        <f t="shared" ref="AX100" si="1865">IF($H100*Q100&gt;150000,ROUNDDOWN(($H100*Q100-150000)*6%*45%,0),0)</f>
        <v>0</v>
      </c>
      <c r="AY100" s="12">
        <f t="shared" ref="AY100" si="1866">IF($H100*R100&gt;150000,ROUNDDOWN(($H100*R100-150000)*6%*45%,0),0)</f>
        <v>0</v>
      </c>
      <c r="AZ100" s="12">
        <f t="shared" ref="AZ100" si="1867">IF($H100*S100&gt;150000,ROUNDDOWN(($H100*S100-150000)*6%*45%,0),0)</f>
        <v>0</v>
      </c>
      <c r="BA100" s="12">
        <f t="shared" ref="BA100" si="1868">IF($H100*T100&gt;150000,ROUNDDOWN(($H100*T100-150000)*6%*45%,0),0)</f>
        <v>0</v>
      </c>
      <c r="BB100" s="12">
        <f t="shared" ref="BB100" si="1869">IF($H100*U100&gt;150000,ROUNDDOWN(($H100*U100-150000)*6%*45%,0),0)</f>
        <v>0</v>
      </c>
      <c r="BC100" s="12">
        <f t="shared" ref="BC100" si="1870">IF($H100*V100&gt;150000,ROUNDDOWN(($H100*V100-150000)*6%*45%,0),0)</f>
        <v>0</v>
      </c>
      <c r="BD100" s="13">
        <f t="shared" ref="BD100" si="1871">IF($H100*W100&gt;150000,ROUNDDOWN(($H100*W100-150000)*6%*45%,0),0)</f>
        <v>0</v>
      </c>
      <c r="BE100" s="14"/>
    </row>
    <row r="101" spans="1:58" x14ac:dyDescent="0.3">
      <c r="A101" s="142"/>
      <c r="B101" s="116"/>
      <c r="C101" s="116"/>
      <c r="D101" s="143"/>
      <c r="E101" s="116"/>
      <c r="F101" s="116"/>
      <c r="G101" s="144"/>
      <c r="H101" s="112"/>
      <c r="I101" s="43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5"/>
      <c r="Y101" s="145"/>
      <c r="Z101" s="116"/>
      <c r="AA101" s="112"/>
      <c r="AB101" s="65">
        <f t="shared" ref="AB101" si="1872">ROUNDDOWN(AB100*10%,-1)</f>
        <v>0</v>
      </c>
      <c r="AC101" s="66">
        <f t="shared" ref="AC101" ca="1" si="1873">IFERROR(IF(AND( OR(COUNTIF(I100:X101, "&gt;0")&gt;=$AJ$1, AA100&gt;=$AJ$4),AN100&lt;60,AA100&lt;=$AH$5),ROUNDDOWN(ROUNDDOWN(AA100,-3)*$AH$4%,-1),IF(AND(COUNTIF(I100:X101,"&gt;0")&gt;=$AJ$1,AN100&lt;60,AA100&gt;$AH$5),$AJ$5,0)),0)</f>
        <v>0</v>
      </c>
      <c r="AD101" s="67">
        <f t="shared" ref="AD101" si="1874">IF(Z100&gt;=$AJ$1,ROUNDDOWN(AD100*$AH$3%/($AH$2*2%),-1),0)</f>
        <v>0</v>
      </c>
      <c r="AE101" s="112"/>
      <c r="AF101" s="112"/>
      <c r="AG101" s="116"/>
      <c r="AH101" s="116"/>
      <c r="AI101" s="116"/>
      <c r="AJ101" s="116"/>
      <c r="AK101" s="149"/>
      <c r="AL101" s="149"/>
      <c r="AM101" s="115"/>
      <c r="AN101" s="113"/>
      <c r="AO101" s="112"/>
      <c r="AP101" s="15">
        <f t="shared" ref="AP101" si="1875">IF($H100*I101&gt;150000,ROUNDDOWN(($H100*I101-150000)*6%*45%,0),0)</f>
        <v>0</v>
      </c>
      <c r="AQ101" s="16">
        <f t="shared" ref="AQ101" si="1876">IF($H100*J101&gt;150000,ROUNDDOWN(($H100*J101-150000)*6%*45%,0),0)</f>
        <v>0</v>
      </c>
      <c r="AR101" s="16">
        <f t="shared" ref="AR101" si="1877">IF($H100*K101&gt;150000,ROUNDDOWN(($H100*K101-150000)*6%*45%,0),0)</f>
        <v>0</v>
      </c>
      <c r="AS101" s="16">
        <f t="shared" ref="AS101" si="1878">IF($H100*L101&gt;150000,ROUNDDOWN(($H100*L101-150000)*6%*45%,0),0)</f>
        <v>0</v>
      </c>
      <c r="AT101" s="16">
        <f t="shared" ref="AT101" si="1879">IF($H100*M101&gt;150000,ROUNDDOWN(($H100*M101-150000)*6%*45%,0),0)</f>
        <v>0</v>
      </c>
      <c r="AU101" s="16">
        <f t="shared" ref="AU101" si="1880">IF($H100*N101&gt;150000,ROUNDDOWN(($H100*N101-150000)*6%*45%,0),0)</f>
        <v>0</v>
      </c>
      <c r="AV101" s="16">
        <f t="shared" ref="AV101" si="1881">IF($H100*O101&gt;150000,ROUNDDOWN(($H100*O101-150000)*6%*45%,0),0)</f>
        <v>0</v>
      </c>
      <c r="AW101" s="16">
        <f t="shared" ref="AW101" si="1882">IF($H100*P101&gt;150000,ROUNDDOWN(($H100*P101-150000)*6%*45%,0),0)</f>
        <v>0</v>
      </c>
      <c r="AX101" s="16">
        <f t="shared" ref="AX101" si="1883">IF($H100*Q101&gt;150000,ROUNDDOWN(($H100*Q101-150000)*6%*45%,0),0)</f>
        <v>0</v>
      </c>
      <c r="AY101" s="16">
        <f t="shared" ref="AY101" si="1884">IF($H100*R101&gt;150000,ROUNDDOWN(($H100*R101-150000)*6%*45%,0),0)</f>
        <v>0</v>
      </c>
      <c r="AZ101" s="16">
        <f t="shared" ref="AZ101" si="1885">IF($H100*S101&gt;150000,ROUNDDOWN(($H100*S101-150000)*6%*45%,0),0)</f>
        <v>0</v>
      </c>
      <c r="BA101" s="16">
        <f t="shared" ref="BA101" si="1886">IF($H100*T101&gt;150000,ROUNDDOWN(($H100*T101-150000)*6%*45%,0),0)</f>
        <v>0</v>
      </c>
      <c r="BB101" s="16">
        <f t="shared" ref="BB101" si="1887">IF($H100*U101&gt;150000,ROUNDDOWN(($H100*U101-150000)*6%*45%,0),0)</f>
        <v>0</v>
      </c>
      <c r="BC101" s="16">
        <f t="shared" ref="BC101" si="1888">IF($H100*V101&gt;150000,ROUNDDOWN(($H100*V101-150000)*6%*45%,0),0)</f>
        <v>0</v>
      </c>
      <c r="BD101" s="16">
        <f t="shared" ref="BD101" si="1889">IF($H100*W101&gt;150000,ROUNDDOWN(($H100*W101-150000)*6%*45%,0),0)</f>
        <v>0</v>
      </c>
      <c r="BE101" s="17">
        <f t="shared" ref="BE101" si="1890">IF($H100*X101&gt;150000,ROUNDDOWN(($H100*X101-150000)*6%*45%,0),0)</f>
        <v>0</v>
      </c>
      <c r="BF101" s="28"/>
    </row>
    <row r="102" spans="1:58" x14ac:dyDescent="0.3">
      <c r="A102" s="142">
        <v>48</v>
      </c>
      <c r="B102" s="116" t="str">
        <f t="shared" ref="B102" si="1891">IF(LEN(D102)&gt;1,IF(VALUE(MID(RIGHT(D102,7),1,1))&gt;4,"외국인",IF(VALUE(RIGHT(11-MOD((MID(D102,1,1)*2+MID(D102,2,1)*3+MID(D102,3,1)*4+MID(D102,4,1)*5+MID(D102,5,1)*6+MID(D102,6,1)*7+MID(RIGHT(D102,7),1,1)*8+MID(RIGHT(D102,7),2,1)*9+MID(RIGHT(D102,7),3,1)*2+MID(RIGHT(D102,7),4,1)*3+MID(RIGHT(D102,7),5,1)*4+MID(RIGHT(D102,7),6,1)*5),11),1))=VALUE(RIGHT(D102,1)),"","오류")),"")</f>
        <v/>
      </c>
      <c r="C102" s="116"/>
      <c r="D102" s="143"/>
      <c r="E102" s="116"/>
      <c r="F102" s="116"/>
      <c r="G102" s="144"/>
      <c r="H102" s="112"/>
      <c r="I102" s="38"/>
      <c r="J102" s="39"/>
      <c r="K102" s="39"/>
      <c r="L102" s="39"/>
      <c r="M102" s="39"/>
      <c r="N102" s="39"/>
      <c r="O102" s="39"/>
      <c r="P102" s="39"/>
      <c r="Q102" s="39"/>
      <c r="R102" s="39"/>
      <c r="S102" s="40"/>
      <c r="T102" s="40"/>
      <c r="U102" s="39"/>
      <c r="V102" s="39"/>
      <c r="W102" s="41"/>
      <c r="X102" s="42"/>
      <c r="Y102" s="145">
        <f>SUM(I102:X103)</f>
        <v>0</v>
      </c>
      <c r="Z102" s="116">
        <f>COUNTIF(I102:X103,"&gt;0")</f>
        <v>0</v>
      </c>
      <c r="AA102" s="112">
        <f t="shared" ref="AA102" si="1892">H102*Y102</f>
        <v>0</v>
      </c>
      <c r="AB102" s="62">
        <f t="shared" ref="AB102" si="1893">IF(AO102&lt;1000, 0, AO102)</f>
        <v>0</v>
      </c>
      <c r="AC102" s="63">
        <f ca="1">IF(IFERROR($AN102&lt;65,FALSE), IF(B102&lt;&gt;"외국인", ROUNDDOWN(AA102*$AH$1%,-1), IF(AND(AM102&lt;&gt;"", ISNUMBER(SEARCH(LEFT(SUBSTITUTE(AM102, "-",""),2), "F2_F5_F6"))), ROUNDDOWN(AA102*$AH$1%,-1), 0)),0)</f>
        <v>0</v>
      </c>
      <c r="AD102" s="64">
        <f t="shared" ref="AD102" si="1894">IF(Z102&gt;=$AJ$1,ROUNDDOWN(AA102*$AH$2%,-1),0)</f>
        <v>0</v>
      </c>
      <c r="AE102" s="112">
        <f t="shared" ref="AE102" ca="1" si="1895">AB102+AC102+AB103+AC103+AD102+AD103</f>
        <v>0</v>
      </c>
      <c r="AF102" s="112">
        <f t="shared" ref="AF102" ca="1" si="1896">AA102-AE102</f>
        <v>0</v>
      </c>
      <c r="AG102" s="116"/>
      <c r="AH102" s="116"/>
      <c r="AI102" s="116"/>
      <c r="AJ102" s="116"/>
      <c r="AK102" s="149"/>
      <c r="AL102" s="149"/>
      <c r="AM102" s="115"/>
      <c r="AN102" s="113" t="str">
        <f t="shared" ref="AN102" ca="1" si="1897">IFERROR(DATEDIF(DATE(IF(ISNUMBER(FIND(MID( SUBSTITUTE(D102, "-",""), 7, 1), "3478")), 2000, 1900)+MID(D102,1,2), MID(D102,3,2), MID(D102,5,2)), TODAY(), "Y"),"")</f>
        <v/>
      </c>
      <c r="AO102" s="112">
        <f>ROUNDDOWN(SUM(AP102:BE103),-1)</f>
        <v>0</v>
      </c>
      <c r="AP102" s="11">
        <f t="shared" ref="AP102" si="1898">IF($H102*I102&gt;150000,ROUNDDOWN(($H102*I102-150000)*6%*45%,0),0)</f>
        <v>0</v>
      </c>
      <c r="AQ102" s="12">
        <f t="shared" ref="AQ102" si="1899">IF($H102*J102&gt;150000,ROUNDDOWN(($H102*J102-150000)*6%*45%,0),0)</f>
        <v>0</v>
      </c>
      <c r="AR102" s="12">
        <f t="shared" ref="AR102" si="1900">IF($H102*K102&gt;150000,ROUNDDOWN(($H102*K102-150000)*6%*45%,0),0)</f>
        <v>0</v>
      </c>
      <c r="AS102" s="12">
        <f t="shared" ref="AS102" si="1901">IF($H102*L102&gt;150000,ROUNDDOWN(($H102*L102-150000)*6%*45%,0),0)</f>
        <v>0</v>
      </c>
      <c r="AT102" s="12">
        <f t="shared" ref="AT102" si="1902">IF($H102*M102&gt;150000,ROUNDDOWN(($H102*M102-150000)*6%*45%,0),0)</f>
        <v>0</v>
      </c>
      <c r="AU102" s="12">
        <f t="shared" ref="AU102" si="1903">IF($H102*N102&gt;150000,ROUNDDOWN(($H102*N102-150000)*6%*45%,0),0)</f>
        <v>0</v>
      </c>
      <c r="AV102" s="12">
        <f t="shared" ref="AV102" si="1904">IF($H102*O102&gt;150000,ROUNDDOWN(($H102*O102-150000)*6%*45%,0),0)</f>
        <v>0</v>
      </c>
      <c r="AW102" s="12">
        <f t="shared" ref="AW102" si="1905">IF($H102*P102&gt;150000,ROUNDDOWN(($H102*P102-150000)*6%*45%,0),0)</f>
        <v>0</v>
      </c>
      <c r="AX102" s="12">
        <f t="shared" ref="AX102" si="1906">IF($H102*Q102&gt;150000,ROUNDDOWN(($H102*Q102-150000)*6%*45%,0),0)</f>
        <v>0</v>
      </c>
      <c r="AY102" s="12">
        <f t="shared" ref="AY102" si="1907">IF($H102*R102&gt;150000,ROUNDDOWN(($H102*R102-150000)*6%*45%,0),0)</f>
        <v>0</v>
      </c>
      <c r="AZ102" s="12">
        <f t="shared" ref="AZ102" si="1908">IF($H102*S102&gt;150000,ROUNDDOWN(($H102*S102-150000)*6%*45%,0),0)</f>
        <v>0</v>
      </c>
      <c r="BA102" s="12">
        <f t="shared" ref="BA102" si="1909">IF($H102*T102&gt;150000,ROUNDDOWN(($H102*T102-150000)*6%*45%,0),0)</f>
        <v>0</v>
      </c>
      <c r="BB102" s="12">
        <f t="shared" ref="BB102" si="1910">IF($H102*U102&gt;150000,ROUNDDOWN(($H102*U102-150000)*6%*45%,0),0)</f>
        <v>0</v>
      </c>
      <c r="BC102" s="12">
        <f t="shared" ref="BC102" si="1911">IF($H102*V102&gt;150000,ROUNDDOWN(($H102*V102-150000)*6%*45%,0),0)</f>
        <v>0</v>
      </c>
      <c r="BD102" s="13">
        <f t="shared" ref="BD102" si="1912">IF($H102*W102&gt;150000,ROUNDDOWN(($H102*W102-150000)*6%*45%,0),0)</f>
        <v>0</v>
      </c>
      <c r="BE102" s="14"/>
    </row>
    <row r="103" spans="1:58" x14ac:dyDescent="0.3">
      <c r="A103" s="142"/>
      <c r="B103" s="116"/>
      <c r="C103" s="116"/>
      <c r="D103" s="143"/>
      <c r="E103" s="116"/>
      <c r="F103" s="116"/>
      <c r="G103" s="144"/>
      <c r="H103" s="112"/>
      <c r="I103" s="43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5"/>
      <c r="Y103" s="145"/>
      <c r="Z103" s="116"/>
      <c r="AA103" s="112"/>
      <c r="AB103" s="65">
        <f t="shared" ref="AB103" si="1913">ROUNDDOWN(AB102*10%,-1)</f>
        <v>0</v>
      </c>
      <c r="AC103" s="66">
        <f t="shared" ref="AC103" ca="1" si="1914">IFERROR(IF(AND( OR(COUNTIF(I102:X103, "&gt;0")&gt;=$AJ$1, AA102&gt;=$AJ$4),AN102&lt;60,AA102&lt;=$AH$5),ROUNDDOWN(ROUNDDOWN(AA102,-3)*$AH$4%,-1),IF(AND(COUNTIF(I102:X103,"&gt;0")&gt;=$AJ$1,AN102&lt;60,AA102&gt;$AH$5),$AJ$5,0)),0)</f>
        <v>0</v>
      </c>
      <c r="AD103" s="67">
        <f t="shared" ref="AD103" si="1915">IF(Z102&gt;=$AJ$1,ROUNDDOWN(AD102*$AH$3%/($AH$2*2%),-1),0)</f>
        <v>0</v>
      </c>
      <c r="AE103" s="112"/>
      <c r="AF103" s="112"/>
      <c r="AG103" s="116"/>
      <c r="AH103" s="116"/>
      <c r="AI103" s="116"/>
      <c r="AJ103" s="116"/>
      <c r="AK103" s="149"/>
      <c r="AL103" s="149"/>
      <c r="AM103" s="115"/>
      <c r="AN103" s="113"/>
      <c r="AO103" s="112"/>
      <c r="AP103" s="15">
        <f t="shared" ref="AP103" si="1916">IF($H102*I103&gt;150000,ROUNDDOWN(($H102*I103-150000)*6%*45%,0),0)</f>
        <v>0</v>
      </c>
      <c r="AQ103" s="16">
        <f t="shared" ref="AQ103" si="1917">IF($H102*J103&gt;150000,ROUNDDOWN(($H102*J103-150000)*6%*45%,0),0)</f>
        <v>0</v>
      </c>
      <c r="AR103" s="16">
        <f t="shared" ref="AR103" si="1918">IF($H102*K103&gt;150000,ROUNDDOWN(($H102*K103-150000)*6%*45%,0),0)</f>
        <v>0</v>
      </c>
      <c r="AS103" s="16">
        <f t="shared" ref="AS103" si="1919">IF($H102*L103&gt;150000,ROUNDDOWN(($H102*L103-150000)*6%*45%,0),0)</f>
        <v>0</v>
      </c>
      <c r="AT103" s="16">
        <f t="shared" ref="AT103" si="1920">IF($H102*M103&gt;150000,ROUNDDOWN(($H102*M103-150000)*6%*45%,0),0)</f>
        <v>0</v>
      </c>
      <c r="AU103" s="16">
        <f t="shared" ref="AU103" si="1921">IF($H102*N103&gt;150000,ROUNDDOWN(($H102*N103-150000)*6%*45%,0),0)</f>
        <v>0</v>
      </c>
      <c r="AV103" s="16">
        <f t="shared" ref="AV103" si="1922">IF($H102*O103&gt;150000,ROUNDDOWN(($H102*O103-150000)*6%*45%,0),0)</f>
        <v>0</v>
      </c>
      <c r="AW103" s="16">
        <f t="shared" ref="AW103" si="1923">IF($H102*P103&gt;150000,ROUNDDOWN(($H102*P103-150000)*6%*45%,0),0)</f>
        <v>0</v>
      </c>
      <c r="AX103" s="16">
        <f t="shared" ref="AX103" si="1924">IF($H102*Q103&gt;150000,ROUNDDOWN(($H102*Q103-150000)*6%*45%,0),0)</f>
        <v>0</v>
      </c>
      <c r="AY103" s="16">
        <f t="shared" ref="AY103" si="1925">IF($H102*R103&gt;150000,ROUNDDOWN(($H102*R103-150000)*6%*45%,0),0)</f>
        <v>0</v>
      </c>
      <c r="AZ103" s="16">
        <f t="shared" ref="AZ103" si="1926">IF($H102*S103&gt;150000,ROUNDDOWN(($H102*S103-150000)*6%*45%,0),0)</f>
        <v>0</v>
      </c>
      <c r="BA103" s="16">
        <f t="shared" ref="BA103" si="1927">IF($H102*T103&gt;150000,ROUNDDOWN(($H102*T103-150000)*6%*45%,0),0)</f>
        <v>0</v>
      </c>
      <c r="BB103" s="16">
        <f t="shared" ref="BB103" si="1928">IF($H102*U103&gt;150000,ROUNDDOWN(($H102*U103-150000)*6%*45%,0),0)</f>
        <v>0</v>
      </c>
      <c r="BC103" s="16">
        <f t="shared" ref="BC103" si="1929">IF($H102*V103&gt;150000,ROUNDDOWN(($H102*V103-150000)*6%*45%,0),0)</f>
        <v>0</v>
      </c>
      <c r="BD103" s="16">
        <f t="shared" ref="BD103" si="1930">IF($H102*W103&gt;150000,ROUNDDOWN(($H102*W103-150000)*6%*45%,0),0)</f>
        <v>0</v>
      </c>
      <c r="BE103" s="17">
        <f t="shared" ref="BE103" si="1931">IF($H102*X103&gt;150000,ROUNDDOWN(($H102*X103-150000)*6%*45%,0),0)</f>
        <v>0</v>
      </c>
      <c r="BF103" s="28"/>
    </row>
    <row r="104" spans="1:58" x14ac:dyDescent="0.3">
      <c r="A104" s="142">
        <v>49</v>
      </c>
      <c r="B104" s="116" t="str">
        <f t="shared" ref="B104" si="1932">IF(LEN(D104)&gt;1,IF(VALUE(MID(RIGHT(D104,7),1,1))&gt;4,"외국인",IF(VALUE(RIGHT(11-MOD((MID(D104,1,1)*2+MID(D104,2,1)*3+MID(D104,3,1)*4+MID(D104,4,1)*5+MID(D104,5,1)*6+MID(D104,6,1)*7+MID(RIGHT(D104,7),1,1)*8+MID(RIGHT(D104,7),2,1)*9+MID(RIGHT(D104,7),3,1)*2+MID(RIGHT(D104,7),4,1)*3+MID(RIGHT(D104,7),5,1)*4+MID(RIGHT(D104,7),6,1)*5),11),1))=VALUE(RIGHT(D104,1)),"","오류")),"")</f>
        <v/>
      </c>
      <c r="C104" s="116"/>
      <c r="D104" s="143"/>
      <c r="E104" s="116"/>
      <c r="F104" s="116"/>
      <c r="G104" s="144"/>
      <c r="H104" s="112"/>
      <c r="I104" s="38"/>
      <c r="J104" s="39"/>
      <c r="K104" s="39"/>
      <c r="L104" s="39"/>
      <c r="M104" s="39"/>
      <c r="N104" s="39"/>
      <c r="O104" s="39"/>
      <c r="P104" s="39"/>
      <c r="Q104" s="39"/>
      <c r="R104" s="39"/>
      <c r="S104" s="40"/>
      <c r="T104" s="40"/>
      <c r="U104" s="39"/>
      <c r="V104" s="39"/>
      <c r="W104" s="41"/>
      <c r="X104" s="42"/>
      <c r="Y104" s="145">
        <f>SUM(I104:X105)</f>
        <v>0</v>
      </c>
      <c r="Z104" s="116">
        <f>COUNTIF(I104:X105,"&gt;0")</f>
        <v>0</v>
      </c>
      <c r="AA104" s="112">
        <f t="shared" ref="AA104" si="1933">H104*Y104</f>
        <v>0</v>
      </c>
      <c r="AB104" s="62">
        <f t="shared" ref="AB104" si="1934">IF(AO104&lt;1000, 0, AO104)</f>
        <v>0</v>
      </c>
      <c r="AC104" s="63">
        <f ca="1">IF(IFERROR($AN104&lt;65,FALSE), IF(B104&lt;&gt;"외국인", ROUNDDOWN(AA104*$AH$1%,-1), IF(AND(AM104&lt;&gt;"", ISNUMBER(SEARCH(LEFT(SUBSTITUTE(AM104, "-",""),2), "F2_F5_F6"))), ROUNDDOWN(AA104*$AH$1%,-1), 0)),0)</f>
        <v>0</v>
      </c>
      <c r="AD104" s="64">
        <f t="shared" ref="AD104" si="1935">IF(Z104&gt;=$AJ$1,ROUNDDOWN(AA104*$AH$2%,-1),0)</f>
        <v>0</v>
      </c>
      <c r="AE104" s="112">
        <f t="shared" ref="AE104" ca="1" si="1936">AB104+AC104+AB105+AC105+AD104+AD105</f>
        <v>0</v>
      </c>
      <c r="AF104" s="112">
        <f t="shared" ref="AF104" ca="1" si="1937">AA104-AE104</f>
        <v>0</v>
      </c>
      <c r="AG104" s="116"/>
      <c r="AH104" s="116"/>
      <c r="AI104" s="116"/>
      <c r="AJ104" s="116"/>
      <c r="AK104" s="149"/>
      <c r="AL104" s="149"/>
      <c r="AM104" s="115"/>
      <c r="AN104" s="113" t="str">
        <f t="shared" ref="AN104" ca="1" si="1938">IFERROR(DATEDIF(DATE(IF(ISNUMBER(FIND(MID( SUBSTITUTE(D104, "-",""), 7, 1), "3478")), 2000, 1900)+MID(D104,1,2), MID(D104,3,2), MID(D104,5,2)), TODAY(), "Y"),"")</f>
        <v/>
      </c>
      <c r="AO104" s="112">
        <f>ROUNDDOWN(SUM(AP104:BE105),-1)</f>
        <v>0</v>
      </c>
      <c r="AP104" s="11">
        <f t="shared" ref="AP104" si="1939">IF($H104*I104&gt;150000,ROUNDDOWN(($H104*I104-150000)*6%*45%,0),0)</f>
        <v>0</v>
      </c>
      <c r="AQ104" s="12">
        <f t="shared" ref="AQ104" si="1940">IF($H104*J104&gt;150000,ROUNDDOWN(($H104*J104-150000)*6%*45%,0),0)</f>
        <v>0</v>
      </c>
      <c r="AR104" s="12">
        <f t="shared" ref="AR104" si="1941">IF($H104*K104&gt;150000,ROUNDDOWN(($H104*K104-150000)*6%*45%,0),0)</f>
        <v>0</v>
      </c>
      <c r="AS104" s="12">
        <f t="shared" ref="AS104" si="1942">IF($H104*L104&gt;150000,ROUNDDOWN(($H104*L104-150000)*6%*45%,0),0)</f>
        <v>0</v>
      </c>
      <c r="AT104" s="12">
        <f t="shared" ref="AT104" si="1943">IF($H104*M104&gt;150000,ROUNDDOWN(($H104*M104-150000)*6%*45%,0),0)</f>
        <v>0</v>
      </c>
      <c r="AU104" s="12">
        <f t="shared" ref="AU104" si="1944">IF($H104*N104&gt;150000,ROUNDDOWN(($H104*N104-150000)*6%*45%,0),0)</f>
        <v>0</v>
      </c>
      <c r="AV104" s="12">
        <f t="shared" ref="AV104" si="1945">IF($H104*O104&gt;150000,ROUNDDOWN(($H104*O104-150000)*6%*45%,0),0)</f>
        <v>0</v>
      </c>
      <c r="AW104" s="12">
        <f t="shared" ref="AW104" si="1946">IF($H104*P104&gt;150000,ROUNDDOWN(($H104*P104-150000)*6%*45%,0),0)</f>
        <v>0</v>
      </c>
      <c r="AX104" s="12">
        <f t="shared" ref="AX104" si="1947">IF($H104*Q104&gt;150000,ROUNDDOWN(($H104*Q104-150000)*6%*45%,0),0)</f>
        <v>0</v>
      </c>
      <c r="AY104" s="12">
        <f t="shared" ref="AY104" si="1948">IF($H104*R104&gt;150000,ROUNDDOWN(($H104*R104-150000)*6%*45%,0),0)</f>
        <v>0</v>
      </c>
      <c r="AZ104" s="12">
        <f t="shared" ref="AZ104" si="1949">IF($H104*S104&gt;150000,ROUNDDOWN(($H104*S104-150000)*6%*45%,0),0)</f>
        <v>0</v>
      </c>
      <c r="BA104" s="12">
        <f t="shared" ref="BA104" si="1950">IF($H104*T104&gt;150000,ROUNDDOWN(($H104*T104-150000)*6%*45%,0),0)</f>
        <v>0</v>
      </c>
      <c r="BB104" s="12">
        <f t="shared" ref="BB104" si="1951">IF($H104*U104&gt;150000,ROUNDDOWN(($H104*U104-150000)*6%*45%,0),0)</f>
        <v>0</v>
      </c>
      <c r="BC104" s="12">
        <f t="shared" ref="BC104" si="1952">IF($H104*V104&gt;150000,ROUNDDOWN(($H104*V104-150000)*6%*45%,0),0)</f>
        <v>0</v>
      </c>
      <c r="BD104" s="13">
        <f t="shared" ref="BD104" si="1953">IF($H104*W104&gt;150000,ROUNDDOWN(($H104*W104-150000)*6%*45%,0),0)</f>
        <v>0</v>
      </c>
      <c r="BE104" s="14"/>
    </row>
    <row r="105" spans="1:58" x14ac:dyDescent="0.3">
      <c r="A105" s="142"/>
      <c r="B105" s="116"/>
      <c r="C105" s="116"/>
      <c r="D105" s="143"/>
      <c r="E105" s="116"/>
      <c r="F105" s="116"/>
      <c r="G105" s="144"/>
      <c r="H105" s="112"/>
      <c r="I105" s="43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5"/>
      <c r="Y105" s="145"/>
      <c r="Z105" s="116"/>
      <c r="AA105" s="112"/>
      <c r="AB105" s="65">
        <f t="shared" ref="AB105" si="1954">ROUNDDOWN(AB104*10%,-1)</f>
        <v>0</v>
      </c>
      <c r="AC105" s="66">
        <f t="shared" ref="AC105" ca="1" si="1955">IFERROR(IF(AND( OR(COUNTIF(I104:X105, "&gt;0")&gt;=$AJ$1, AA104&gt;=$AJ$4),AN104&lt;60,AA104&lt;=$AH$5),ROUNDDOWN(ROUNDDOWN(AA104,-3)*$AH$4%,-1),IF(AND(COUNTIF(I104:X105,"&gt;0")&gt;=$AJ$1,AN104&lt;60,AA104&gt;$AH$5),$AJ$5,0)),0)</f>
        <v>0</v>
      </c>
      <c r="AD105" s="67">
        <f t="shared" ref="AD105" si="1956">IF(Z104&gt;=$AJ$1,ROUNDDOWN(AD104*$AH$3%/($AH$2*2%),-1),0)</f>
        <v>0</v>
      </c>
      <c r="AE105" s="112"/>
      <c r="AF105" s="112"/>
      <c r="AG105" s="116"/>
      <c r="AH105" s="116"/>
      <c r="AI105" s="116"/>
      <c r="AJ105" s="116"/>
      <c r="AK105" s="149"/>
      <c r="AL105" s="149"/>
      <c r="AM105" s="115"/>
      <c r="AN105" s="113"/>
      <c r="AO105" s="112"/>
      <c r="AP105" s="15">
        <f t="shared" ref="AP105" si="1957">IF($H104*I105&gt;150000,ROUNDDOWN(($H104*I105-150000)*6%*45%,0),0)</f>
        <v>0</v>
      </c>
      <c r="AQ105" s="16">
        <f t="shared" ref="AQ105" si="1958">IF($H104*J105&gt;150000,ROUNDDOWN(($H104*J105-150000)*6%*45%,0),0)</f>
        <v>0</v>
      </c>
      <c r="AR105" s="16">
        <f t="shared" ref="AR105" si="1959">IF($H104*K105&gt;150000,ROUNDDOWN(($H104*K105-150000)*6%*45%,0),0)</f>
        <v>0</v>
      </c>
      <c r="AS105" s="16">
        <f t="shared" ref="AS105" si="1960">IF($H104*L105&gt;150000,ROUNDDOWN(($H104*L105-150000)*6%*45%,0),0)</f>
        <v>0</v>
      </c>
      <c r="AT105" s="16">
        <f t="shared" ref="AT105" si="1961">IF($H104*M105&gt;150000,ROUNDDOWN(($H104*M105-150000)*6%*45%,0),0)</f>
        <v>0</v>
      </c>
      <c r="AU105" s="16">
        <f t="shared" ref="AU105" si="1962">IF($H104*N105&gt;150000,ROUNDDOWN(($H104*N105-150000)*6%*45%,0),0)</f>
        <v>0</v>
      </c>
      <c r="AV105" s="16">
        <f t="shared" ref="AV105" si="1963">IF($H104*O105&gt;150000,ROUNDDOWN(($H104*O105-150000)*6%*45%,0),0)</f>
        <v>0</v>
      </c>
      <c r="AW105" s="16">
        <f t="shared" ref="AW105" si="1964">IF($H104*P105&gt;150000,ROUNDDOWN(($H104*P105-150000)*6%*45%,0),0)</f>
        <v>0</v>
      </c>
      <c r="AX105" s="16">
        <f t="shared" ref="AX105" si="1965">IF($H104*Q105&gt;150000,ROUNDDOWN(($H104*Q105-150000)*6%*45%,0),0)</f>
        <v>0</v>
      </c>
      <c r="AY105" s="16">
        <f t="shared" ref="AY105" si="1966">IF($H104*R105&gt;150000,ROUNDDOWN(($H104*R105-150000)*6%*45%,0),0)</f>
        <v>0</v>
      </c>
      <c r="AZ105" s="16">
        <f t="shared" ref="AZ105" si="1967">IF($H104*S105&gt;150000,ROUNDDOWN(($H104*S105-150000)*6%*45%,0),0)</f>
        <v>0</v>
      </c>
      <c r="BA105" s="16">
        <f t="shared" ref="BA105" si="1968">IF($H104*T105&gt;150000,ROUNDDOWN(($H104*T105-150000)*6%*45%,0),0)</f>
        <v>0</v>
      </c>
      <c r="BB105" s="16">
        <f t="shared" ref="BB105" si="1969">IF($H104*U105&gt;150000,ROUNDDOWN(($H104*U105-150000)*6%*45%,0),0)</f>
        <v>0</v>
      </c>
      <c r="BC105" s="16">
        <f t="shared" ref="BC105" si="1970">IF($H104*V105&gt;150000,ROUNDDOWN(($H104*V105-150000)*6%*45%,0),0)</f>
        <v>0</v>
      </c>
      <c r="BD105" s="16">
        <f t="shared" ref="BD105" si="1971">IF($H104*W105&gt;150000,ROUNDDOWN(($H104*W105-150000)*6%*45%,0),0)</f>
        <v>0</v>
      </c>
      <c r="BE105" s="17">
        <f t="shared" ref="BE105" si="1972">IF($H104*X105&gt;150000,ROUNDDOWN(($H104*X105-150000)*6%*45%,0),0)</f>
        <v>0</v>
      </c>
      <c r="BF105" s="28"/>
    </row>
    <row r="106" spans="1:58" x14ac:dyDescent="0.3">
      <c r="A106" s="142">
        <v>50</v>
      </c>
      <c r="B106" s="116" t="str">
        <f t="shared" ref="B106" si="1973">IF(LEN(D106)&gt;1,IF(VALUE(MID(RIGHT(D106,7),1,1))&gt;4,"외국인",IF(VALUE(RIGHT(11-MOD((MID(D106,1,1)*2+MID(D106,2,1)*3+MID(D106,3,1)*4+MID(D106,4,1)*5+MID(D106,5,1)*6+MID(D106,6,1)*7+MID(RIGHT(D106,7),1,1)*8+MID(RIGHT(D106,7),2,1)*9+MID(RIGHT(D106,7),3,1)*2+MID(RIGHT(D106,7),4,1)*3+MID(RIGHT(D106,7),5,1)*4+MID(RIGHT(D106,7),6,1)*5),11),1))=VALUE(RIGHT(D106,1)),"","오류")),"")</f>
        <v/>
      </c>
      <c r="C106" s="116"/>
      <c r="D106" s="143"/>
      <c r="E106" s="116"/>
      <c r="F106" s="116"/>
      <c r="G106" s="144"/>
      <c r="H106" s="112"/>
      <c r="I106" s="38"/>
      <c r="J106" s="39"/>
      <c r="K106" s="39"/>
      <c r="L106" s="39"/>
      <c r="M106" s="39"/>
      <c r="N106" s="39"/>
      <c r="O106" s="39"/>
      <c r="P106" s="39"/>
      <c r="Q106" s="39"/>
      <c r="R106" s="39"/>
      <c r="S106" s="40"/>
      <c r="T106" s="40"/>
      <c r="U106" s="39"/>
      <c r="V106" s="39"/>
      <c r="W106" s="41"/>
      <c r="X106" s="42"/>
      <c r="Y106" s="145">
        <f>SUM(I106:X107)</f>
        <v>0</v>
      </c>
      <c r="Z106" s="116">
        <f>COUNTIF(I106:X107,"&gt;0")</f>
        <v>0</v>
      </c>
      <c r="AA106" s="112">
        <f t="shared" ref="AA106" si="1974">H106*Y106</f>
        <v>0</v>
      </c>
      <c r="AB106" s="62">
        <f t="shared" ref="AB106" si="1975">IF(AO106&lt;1000, 0, AO106)</f>
        <v>0</v>
      </c>
      <c r="AC106" s="63">
        <f ca="1">IF(IFERROR($AN106&lt;65,FALSE), IF(B106&lt;&gt;"외국인", ROUNDDOWN(AA106*$AH$1%,-1), IF(AND(AM106&lt;&gt;"", ISNUMBER(SEARCH(LEFT(SUBSTITUTE(AM106, "-",""),2), "F2_F5_F6"))), ROUNDDOWN(AA106*$AH$1%,-1), 0)),0)</f>
        <v>0</v>
      </c>
      <c r="AD106" s="64">
        <f t="shared" ref="AD106" si="1976">IF(Z106&gt;=$AJ$1,ROUNDDOWN(AA106*$AH$2%,-1),0)</f>
        <v>0</v>
      </c>
      <c r="AE106" s="112">
        <f t="shared" ref="AE106" ca="1" si="1977">AB106+AC106+AB107+AC107+AD106+AD107</f>
        <v>0</v>
      </c>
      <c r="AF106" s="112">
        <f t="shared" ref="AF106" ca="1" si="1978">AA106-AE106</f>
        <v>0</v>
      </c>
      <c r="AG106" s="116"/>
      <c r="AH106" s="116"/>
      <c r="AI106" s="116"/>
      <c r="AJ106" s="116"/>
      <c r="AK106" s="149"/>
      <c r="AL106" s="149"/>
      <c r="AM106" s="115"/>
      <c r="AN106" s="113" t="str">
        <f t="shared" ref="AN106" ca="1" si="1979">IFERROR(DATEDIF(DATE(IF(ISNUMBER(FIND(MID( SUBSTITUTE(D106, "-",""), 7, 1), "3478")), 2000, 1900)+MID(D106,1,2), MID(D106,3,2), MID(D106,5,2)), TODAY(), "Y"),"")</f>
        <v/>
      </c>
      <c r="AO106" s="112">
        <f>ROUNDDOWN(SUM(AP106:BE107),-1)</f>
        <v>0</v>
      </c>
      <c r="AP106" s="11">
        <f t="shared" ref="AP106" si="1980">IF($H106*I106&gt;150000,ROUNDDOWN(($H106*I106-150000)*6%*45%,0),0)</f>
        <v>0</v>
      </c>
      <c r="AQ106" s="12">
        <f t="shared" ref="AQ106" si="1981">IF($H106*J106&gt;150000,ROUNDDOWN(($H106*J106-150000)*6%*45%,0),0)</f>
        <v>0</v>
      </c>
      <c r="AR106" s="12">
        <f t="shared" ref="AR106" si="1982">IF($H106*K106&gt;150000,ROUNDDOWN(($H106*K106-150000)*6%*45%,0),0)</f>
        <v>0</v>
      </c>
      <c r="AS106" s="12">
        <f t="shared" ref="AS106" si="1983">IF($H106*L106&gt;150000,ROUNDDOWN(($H106*L106-150000)*6%*45%,0),0)</f>
        <v>0</v>
      </c>
      <c r="AT106" s="12">
        <f t="shared" ref="AT106" si="1984">IF($H106*M106&gt;150000,ROUNDDOWN(($H106*M106-150000)*6%*45%,0),0)</f>
        <v>0</v>
      </c>
      <c r="AU106" s="12">
        <f t="shared" ref="AU106" si="1985">IF($H106*N106&gt;150000,ROUNDDOWN(($H106*N106-150000)*6%*45%,0),0)</f>
        <v>0</v>
      </c>
      <c r="AV106" s="12">
        <f t="shared" ref="AV106" si="1986">IF($H106*O106&gt;150000,ROUNDDOWN(($H106*O106-150000)*6%*45%,0),0)</f>
        <v>0</v>
      </c>
      <c r="AW106" s="12">
        <f t="shared" ref="AW106" si="1987">IF($H106*P106&gt;150000,ROUNDDOWN(($H106*P106-150000)*6%*45%,0),0)</f>
        <v>0</v>
      </c>
      <c r="AX106" s="12">
        <f t="shared" ref="AX106" si="1988">IF($H106*Q106&gt;150000,ROUNDDOWN(($H106*Q106-150000)*6%*45%,0),0)</f>
        <v>0</v>
      </c>
      <c r="AY106" s="12">
        <f t="shared" ref="AY106" si="1989">IF($H106*R106&gt;150000,ROUNDDOWN(($H106*R106-150000)*6%*45%,0),0)</f>
        <v>0</v>
      </c>
      <c r="AZ106" s="12">
        <f t="shared" ref="AZ106" si="1990">IF($H106*S106&gt;150000,ROUNDDOWN(($H106*S106-150000)*6%*45%,0),0)</f>
        <v>0</v>
      </c>
      <c r="BA106" s="12">
        <f t="shared" ref="BA106" si="1991">IF($H106*T106&gt;150000,ROUNDDOWN(($H106*T106-150000)*6%*45%,0),0)</f>
        <v>0</v>
      </c>
      <c r="BB106" s="12">
        <f t="shared" ref="BB106" si="1992">IF($H106*U106&gt;150000,ROUNDDOWN(($H106*U106-150000)*6%*45%,0),0)</f>
        <v>0</v>
      </c>
      <c r="BC106" s="12">
        <f t="shared" ref="BC106" si="1993">IF($H106*V106&gt;150000,ROUNDDOWN(($H106*V106-150000)*6%*45%,0),0)</f>
        <v>0</v>
      </c>
      <c r="BD106" s="13">
        <f t="shared" ref="BD106" si="1994">IF($H106*W106&gt;150000,ROUNDDOWN(($H106*W106-150000)*6%*45%,0),0)</f>
        <v>0</v>
      </c>
      <c r="BE106" s="14"/>
    </row>
    <row r="107" spans="1:58" x14ac:dyDescent="0.3">
      <c r="A107" s="142"/>
      <c r="B107" s="116"/>
      <c r="C107" s="116"/>
      <c r="D107" s="143"/>
      <c r="E107" s="116"/>
      <c r="F107" s="116"/>
      <c r="G107" s="144"/>
      <c r="H107" s="112"/>
      <c r="I107" s="43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5"/>
      <c r="Y107" s="145"/>
      <c r="Z107" s="116"/>
      <c r="AA107" s="112"/>
      <c r="AB107" s="65">
        <f t="shared" ref="AB107" si="1995">ROUNDDOWN(AB106*10%,-1)</f>
        <v>0</v>
      </c>
      <c r="AC107" s="66">
        <f t="shared" ref="AC107" ca="1" si="1996">IFERROR(IF(AND( OR(COUNTIF(I106:X107, "&gt;0")&gt;=$AJ$1, AA106&gt;=$AJ$4),AN106&lt;60,AA106&lt;=$AH$5),ROUNDDOWN(ROUNDDOWN(AA106,-3)*$AH$4%,-1),IF(AND(COUNTIF(I106:X107,"&gt;0")&gt;=$AJ$1,AN106&lt;60,AA106&gt;$AH$5),$AJ$5,0)),0)</f>
        <v>0</v>
      </c>
      <c r="AD107" s="67">
        <f t="shared" ref="AD107" si="1997">IF(Z106&gt;=$AJ$1,ROUNDDOWN(AD106*$AH$3%/($AH$2*2%),-1),0)</f>
        <v>0</v>
      </c>
      <c r="AE107" s="112"/>
      <c r="AF107" s="112"/>
      <c r="AG107" s="116"/>
      <c r="AH107" s="116"/>
      <c r="AI107" s="116"/>
      <c r="AJ107" s="116"/>
      <c r="AK107" s="149"/>
      <c r="AL107" s="149"/>
      <c r="AM107" s="115"/>
      <c r="AN107" s="113"/>
      <c r="AO107" s="112"/>
      <c r="AP107" s="15">
        <f t="shared" ref="AP107" si="1998">IF($H106*I107&gt;150000,ROUNDDOWN(($H106*I107-150000)*6%*45%,0),0)</f>
        <v>0</v>
      </c>
      <c r="AQ107" s="16">
        <f t="shared" ref="AQ107" si="1999">IF($H106*J107&gt;150000,ROUNDDOWN(($H106*J107-150000)*6%*45%,0),0)</f>
        <v>0</v>
      </c>
      <c r="AR107" s="16">
        <f t="shared" ref="AR107" si="2000">IF($H106*K107&gt;150000,ROUNDDOWN(($H106*K107-150000)*6%*45%,0),0)</f>
        <v>0</v>
      </c>
      <c r="AS107" s="16">
        <f t="shared" ref="AS107" si="2001">IF($H106*L107&gt;150000,ROUNDDOWN(($H106*L107-150000)*6%*45%,0),0)</f>
        <v>0</v>
      </c>
      <c r="AT107" s="16">
        <f t="shared" ref="AT107" si="2002">IF($H106*M107&gt;150000,ROUNDDOWN(($H106*M107-150000)*6%*45%,0),0)</f>
        <v>0</v>
      </c>
      <c r="AU107" s="16">
        <f t="shared" ref="AU107" si="2003">IF($H106*N107&gt;150000,ROUNDDOWN(($H106*N107-150000)*6%*45%,0),0)</f>
        <v>0</v>
      </c>
      <c r="AV107" s="16">
        <f t="shared" ref="AV107" si="2004">IF($H106*O107&gt;150000,ROUNDDOWN(($H106*O107-150000)*6%*45%,0),0)</f>
        <v>0</v>
      </c>
      <c r="AW107" s="16">
        <f t="shared" ref="AW107" si="2005">IF($H106*P107&gt;150000,ROUNDDOWN(($H106*P107-150000)*6%*45%,0),0)</f>
        <v>0</v>
      </c>
      <c r="AX107" s="16">
        <f t="shared" ref="AX107" si="2006">IF($H106*Q107&gt;150000,ROUNDDOWN(($H106*Q107-150000)*6%*45%,0),0)</f>
        <v>0</v>
      </c>
      <c r="AY107" s="16">
        <f t="shared" ref="AY107" si="2007">IF($H106*R107&gt;150000,ROUNDDOWN(($H106*R107-150000)*6%*45%,0),0)</f>
        <v>0</v>
      </c>
      <c r="AZ107" s="16">
        <f t="shared" ref="AZ107" si="2008">IF($H106*S107&gt;150000,ROUNDDOWN(($H106*S107-150000)*6%*45%,0),0)</f>
        <v>0</v>
      </c>
      <c r="BA107" s="16">
        <f t="shared" ref="BA107" si="2009">IF($H106*T107&gt;150000,ROUNDDOWN(($H106*T107-150000)*6%*45%,0),0)</f>
        <v>0</v>
      </c>
      <c r="BB107" s="16">
        <f t="shared" ref="BB107" si="2010">IF($H106*U107&gt;150000,ROUNDDOWN(($H106*U107-150000)*6%*45%,0),0)</f>
        <v>0</v>
      </c>
      <c r="BC107" s="16">
        <f t="shared" ref="BC107" si="2011">IF($H106*V107&gt;150000,ROUNDDOWN(($H106*V107-150000)*6%*45%,0),0)</f>
        <v>0</v>
      </c>
      <c r="BD107" s="16">
        <f t="shared" ref="BD107" si="2012">IF($H106*W107&gt;150000,ROUNDDOWN(($H106*W107-150000)*6%*45%,0),0)</f>
        <v>0</v>
      </c>
      <c r="BE107" s="17">
        <f t="shared" ref="BE107" si="2013">IF($H106*X107&gt;150000,ROUNDDOWN(($H106*X107-150000)*6%*45%,0),0)</f>
        <v>0</v>
      </c>
      <c r="BF107" s="28"/>
    </row>
    <row r="108" spans="1:58" x14ac:dyDescent="0.3">
      <c r="A108" s="142">
        <v>51</v>
      </c>
      <c r="B108" s="116" t="str">
        <f t="shared" ref="B108" si="2014">IF(LEN(D108)&gt;1,IF(VALUE(MID(RIGHT(D108,7),1,1))&gt;4,"외국인",IF(VALUE(RIGHT(11-MOD((MID(D108,1,1)*2+MID(D108,2,1)*3+MID(D108,3,1)*4+MID(D108,4,1)*5+MID(D108,5,1)*6+MID(D108,6,1)*7+MID(RIGHT(D108,7),1,1)*8+MID(RIGHT(D108,7),2,1)*9+MID(RIGHT(D108,7),3,1)*2+MID(RIGHT(D108,7),4,1)*3+MID(RIGHT(D108,7),5,1)*4+MID(RIGHT(D108,7),6,1)*5),11),1))=VALUE(RIGHT(D108,1)),"","오류")),"")</f>
        <v/>
      </c>
      <c r="C108" s="116"/>
      <c r="D108" s="143"/>
      <c r="E108" s="116"/>
      <c r="F108" s="116"/>
      <c r="G108" s="144"/>
      <c r="H108" s="112"/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40"/>
      <c r="T108" s="40"/>
      <c r="U108" s="39"/>
      <c r="V108" s="39"/>
      <c r="W108" s="41"/>
      <c r="X108" s="42"/>
      <c r="Y108" s="145">
        <f>SUM(I108:X109)</f>
        <v>0</v>
      </c>
      <c r="Z108" s="116">
        <f>COUNTIF(I108:X109,"&gt;0")</f>
        <v>0</v>
      </c>
      <c r="AA108" s="112">
        <f t="shared" ref="AA108" si="2015">H108*Y108</f>
        <v>0</v>
      </c>
      <c r="AB108" s="62">
        <f t="shared" ref="AB108" si="2016">IF(AO108&lt;1000, 0, AO108)</f>
        <v>0</v>
      </c>
      <c r="AC108" s="63">
        <f ca="1">IF(IFERROR($AN108&lt;65,FALSE), IF(B108&lt;&gt;"외국인", ROUNDDOWN(AA108*$AH$1%,-1), IF(AND(AM108&lt;&gt;"", ISNUMBER(SEARCH(LEFT(SUBSTITUTE(AM108, "-",""),2), "F2_F5_F6"))), ROUNDDOWN(AA108*$AH$1%,-1), 0)),0)</f>
        <v>0</v>
      </c>
      <c r="AD108" s="64">
        <f t="shared" ref="AD108" si="2017">IF(Z108&gt;=$AJ$1,ROUNDDOWN(AA108*$AH$2%,-1),0)</f>
        <v>0</v>
      </c>
      <c r="AE108" s="112">
        <f t="shared" ref="AE108" ca="1" si="2018">AB108+AC108+AB109+AC109+AD108+AD109</f>
        <v>0</v>
      </c>
      <c r="AF108" s="112">
        <f t="shared" ref="AF108" ca="1" si="2019">AA108-AE108</f>
        <v>0</v>
      </c>
      <c r="AG108" s="116"/>
      <c r="AH108" s="116"/>
      <c r="AI108" s="116"/>
      <c r="AJ108" s="116"/>
      <c r="AK108" s="149"/>
      <c r="AL108" s="149"/>
      <c r="AM108" s="115"/>
      <c r="AN108" s="113" t="str">
        <f t="shared" ref="AN108" ca="1" si="2020">IFERROR(DATEDIF(DATE(IF(ISNUMBER(FIND(MID( SUBSTITUTE(D108, "-",""), 7, 1), "3478")), 2000, 1900)+MID(D108,1,2), MID(D108,3,2), MID(D108,5,2)), TODAY(), "Y"),"")</f>
        <v/>
      </c>
      <c r="AO108" s="112">
        <f>ROUNDDOWN(SUM(AP108:BE109),-1)</f>
        <v>0</v>
      </c>
      <c r="AP108" s="11">
        <f t="shared" ref="AP108" si="2021">IF($H108*I108&gt;150000,ROUNDDOWN(($H108*I108-150000)*6%*45%,0),0)</f>
        <v>0</v>
      </c>
      <c r="AQ108" s="12">
        <f t="shared" ref="AQ108" si="2022">IF($H108*J108&gt;150000,ROUNDDOWN(($H108*J108-150000)*6%*45%,0),0)</f>
        <v>0</v>
      </c>
      <c r="AR108" s="12">
        <f t="shared" ref="AR108" si="2023">IF($H108*K108&gt;150000,ROUNDDOWN(($H108*K108-150000)*6%*45%,0),0)</f>
        <v>0</v>
      </c>
      <c r="AS108" s="12">
        <f t="shared" ref="AS108" si="2024">IF($H108*L108&gt;150000,ROUNDDOWN(($H108*L108-150000)*6%*45%,0),0)</f>
        <v>0</v>
      </c>
      <c r="AT108" s="12">
        <f t="shared" ref="AT108" si="2025">IF($H108*M108&gt;150000,ROUNDDOWN(($H108*M108-150000)*6%*45%,0),0)</f>
        <v>0</v>
      </c>
      <c r="AU108" s="12">
        <f t="shared" ref="AU108" si="2026">IF($H108*N108&gt;150000,ROUNDDOWN(($H108*N108-150000)*6%*45%,0),0)</f>
        <v>0</v>
      </c>
      <c r="AV108" s="12">
        <f t="shared" ref="AV108" si="2027">IF($H108*O108&gt;150000,ROUNDDOWN(($H108*O108-150000)*6%*45%,0),0)</f>
        <v>0</v>
      </c>
      <c r="AW108" s="12">
        <f t="shared" ref="AW108" si="2028">IF($H108*P108&gt;150000,ROUNDDOWN(($H108*P108-150000)*6%*45%,0),0)</f>
        <v>0</v>
      </c>
      <c r="AX108" s="12">
        <f t="shared" ref="AX108" si="2029">IF($H108*Q108&gt;150000,ROUNDDOWN(($H108*Q108-150000)*6%*45%,0),0)</f>
        <v>0</v>
      </c>
      <c r="AY108" s="12">
        <f t="shared" ref="AY108" si="2030">IF($H108*R108&gt;150000,ROUNDDOWN(($H108*R108-150000)*6%*45%,0),0)</f>
        <v>0</v>
      </c>
      <c r="AZ108" s="12">
        <f t="shared" ref="AZ108" si="2031">IF($H108*S108&gt;150000,ROUNDDOWN(($H108*S108-150000)*6%*45%,0),0)</f>
        <v>0</v>
      </c>
      <c r="BA108" s="12">
        <f t="shared" ref="BA108" si="2032">IF($H108*T108&gt;150000,ROUNDDOWN(($H108*T108-150000)*6%*45%,0),0)</f>
        <v>0</v>
      </c>
      <c r="BB108" s="12">
        <f t="shared" ref="BB108" si="2033">IF($H108*U108&gt;150000,ROUNDDOWN(($H108*U108-150000)*6%*45%,0),0)</f>
        <v>0</v>
      </c>
      <c r="BC108" s="12">
        <f t="shared" ref="BC108" si="2034">IF($H108*V108&gt;150000,ROUNDDOWN(($H108*V108-150000)*6%*45%,0),0)</f>
        <v>0</v>
      </c>
      <c r="BD108" s="13">
        <f t="shared" ref="BD108" si="2035">IF($H108*W108&gt;150000,ROUNDDOWN(($H108*W108-150000)*6%*45%,0),0)</f>
        <v>0</v>
      </c>
      <c r="BE108" s="14"/>
    </row>
    <row r="109" spans="1:58" x14ac:dyDescent="0.3">
      <c r="A109" s="142"/>
      <c r="B109" s="116"/>
      <c r="C109" s="116"/>
      <c r="D109" s="143"/>
      <c r="E109" s="116"/>
      <c r="F109" s="116"/>
      <c r="G109" s="144"/>
      <c r="H109" s="112"/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5"/>
      <c r="Y109" s="145"/>
      <c r="Z109" s="116"/>
      <c r="AA109" s="112"/>
      <c r="AB109" s="65">
        <f t="shared" ref="AB109" si="2036">ROUNDDOWN(AB108*10%,-1)</f>
        <v>0</v>
      </c>
      <c r="AC109" s="66">
        <f t="shared" ref="AC109" ca="1" si="2037">IFERROR(IF(AND( OR(COUNTIF(I108:X109, "&gt;0")&gt;=$AJ$1, AA108&gt;=$AJ$4),AN108&lt;60,AA108&lt;=$AH$5),ROUNDDOWN(ROUNDDOWN(AA108,-3)*$AH$4%,-1),IF(AND(COUNTIF(I108:X109,"&gt;0")&gt;=$AJ$1,AN108&lt;60,AA108&gt;$AH$5),$AJ$5,0)),0)</f>
        <v>0</v>
      </c>
      <c r="AD109" s="67">
        <f t="shared" ref="AD109" si="2038">IF(Z108&gt;=$AJ$1,ROUNDDOWN(AD108*$AH$3%/($AH$2*2%),-1),0)</f>
        <v>0</v>
      </c>
      <c r="AE109" s="112"/>
      <c r="AF109" s="112"/>
      <c r="AG109" s="116"/>
      <c r="AH109" s="116"/>
      <c r="AI109" s="116"/>
      <c r="AJ109" s="116"/>
      <c r="AK109" s="149"/>
      <c r="AL109" s="149"/>
      <c r="AM109" s="115"/>
      <c r="AN109" s="113"/>
      <c r="AO109" s="112"/>
      <c r="AP109" s="15">
        <f t="shared" ref="AP109" si="2039">IF($H108*I109&gt;150000,ROUNDDOWN(($H108*I109-150000)*6%*45%,0),0)</f>
        <v>0</v>
      </c>
      <c r="AQ109" s="16">
        <f t="shared" ref="AQ109" si="2040">IF($H108*J109&gt;150000,ROUNDDOWN(($H108*J109-150000)*6%*45%,0),0)</f>
        <v>0</v>
      </c>
      <c r="AR109" s="16">
        <f t="shared" ref="AR109" si="2041">IF($H108*K109&gt;150000,ROUNDDOWN(($H108*K109-150000)*6%*45%,0),0)</f>
        <v>0</v>
      </c>
      <c r="AS109" s="16">
        <f t="shared" ref="AS109" si="2042">IF($H108*L109&gt;150000,ROUNDDOWN(($H108*L109-150000)*6%*45%,0),0)</f>
        <v>0</v>
      </c>
      <c r="AT109" s="16">
        <f t="shared" ref="AT109" si="2043">IF($H108*M109&gt;150000,ROUNDDOWN(($H108*M109-150000)*6%*45%,0),0)</f>
        <v>0</v>
      </c>
      <c r="AU109" s="16">
        <f t="shared" ref="AU109" si="2044">IF($H108*N109&gt;150000,ROUNDDOWN(($H108*N109-150000)*6%*45%,0),0)</f>
        <v>0</v>
      </c>
      <c r="AV109" s="16">
        <f t="shared" ref="AV109" si="2045">IF($H108*O109&gt;150000,ROUNDDOWN(($H108*O109-150000)*6%*45%,0),0)</f>
        <v>0</v>
      </c>
      <c r="AW109" s="16">
        <f t="shared" ref="AW109" si="2046">IF($H108*P109&gt;150000,ROUNDDOWN(($H108*P109-150000)*6%*45%,0),0)</f>
        <v>0</v>
      </c>
      <c r="AX109" s="16">
        <f t="shared" ref="AX109" si="2047">IF($H108*Q109&gt;150000,ROUNDDOWN(($H108*Q109-150000)*6%*45%,0),0)</f>
        <v>0</v>
      </c>
      <c r="AY109" s="16">
        <f t="shared" ref="AY109" si="2048">IF($H108*R109&gt;150000,ROUNDDOWN(($H108*R109-150000)*6%*45%,0),0)</f>
        <v>0</v>
      </c>
      <c r="AZ109" s="16">
        <f t="shared" ref="AZ109" si="2049">IF($H108*S109&gt;150000,ROUNDDOWN(($H108*S109-150000)*6%*45%,0),0)</f>
        <v>0</v>
      </c>
      <c r="BA109" s="16">
        <f t="shared" ref="BA109" si="2050">IF($H108*T109&gt;150000,ROUNDDOWN(($H108*T109-150000)*6%*45%,0),0)</f>
        <v>0</v>
      </c>
      <c r="BB109" s="16">
        <f t="shared" ref="BB109" si="2051">IF($H108*U109&gt;150000,ROUNDDOWN(($H108*U109-150000)*6%*45%,0),0)</f>
        <v>0</v>
      </c>
      <c r="BC109" s="16">
        <f t="shared" ref="BC109" si="2052">IF($H108*V109&gt;150000,ROUNDDOWN(($H108*V109-150000)*6%*45%,0),0)</f>
        <v>0</v>
      </c>
      <c r="BD109" s="16">
        <f t="shared" ref="BD109" si="2053">IF($H108*W109&gt;150000,ROUNDDOWN(($H108*W109-150000)*6%*45%,0),0)</f>
        <v>0</v>
      </c>
      <c r="BE109" s="17">
        <f t="shared" ref="BE109" si="2054">IF($H108*X109&gt;150000,ROUNDDOWN(($H108*X109-150000)*6%*45%,0),0)</f>
        <v>0</v>
      </c>
      <c r="BF109" s="28"/>
    </row>
    <row r="110" spans="1:58" x14ac:dyDescent="0.3">
      <c r="A110" s="142">
        <v>52</v>
      </c>
      <c r="B110" s="116" t="str">
        <f t="shared" ref="B110" si="2055">IF(LEN(D110)&gt;1,IF(VALUE(MID(RIGHT(D110,7),1,1))&gt;4,"외국인",IF(VALUE(RIGHT(11-MOD((MID(D110,1,1)*2+MID(D110,2,1)*3+MID(D110,3,1)*4+MID(D110,4,1)*5+MID(D110,5,1)*6+MID(D110,6,1)*7+MID(RIGHT(D110,7),1,1)*8+MID(RIGHT(D110,7),2,1)*9+MID(RIGHT(D110,7),3,1)*2+MID(RIGHT(D110,7),4,1)*3+MID(RIGHT(D110,7),5,1)*4+MID(RIGHT(D110,7),6,1)*5),11),1))=VALUE(RIGHT(D110,1)),"","오류")),"")</f>
        <v/>
      </c>
      <c r="C110" s="116"/>
      <c r="D110" s="143"/>
      <c r="E110" s="116"/>
      <c r="F110" s="116"/>
      <c r="G110" s="144"/>
      <c r="H110" s="112"/>
      <c r="I110" s="38"/>
      <c r="J110" s="39"/>
      <c r="K110" s="39"/>
      <c r="L110" s="39"/>
      <c r="M110" s="39"/>
      <c r="N110" s="39"/>
      <c r="O110" s="39"/>
      <c r="P110" s="39"/>
      <c r="Q110" s="39"/>
      <c r="R110" s="39"/>
      <c r="S110" s="40"/>
      <c r="T110" s="40"/>
      <c r="U110" s="39"/>
      <c r="V110" s="39"/>
      <c r="W110" s="41"/>
      <c r="X110" s="42"/>
      <c r="Y110" s="145">
        <f>SUM(I110:X111)</f>
        <v>0</v>
      </c>
      <c r="Z110" s="116">
        <f>COUNTIF(I110:X111,"&gt;0")</f>
        <v>0</v>
      </c>
      <c r="AA110" s="112">
        <f t="shared" ref="AA110" si="2056">H110*Y110</f>
        <v>0</v>
      </c>
      <c r="AB110" s="62">
        <f t="shared" ref="AB110" si="2057">IF(AO110&lt;1000, 0, AO110)</f>
        <v>0</v>
      </c>
      <c r="AC110" s="63">
        <f ca="1">IF(IFERROR($AN110&lt;65,FALSE), IF(B110&lt;&gt;"외국인", ROUNDDOWN(AA110*$AH$1%,-1), IF(AND(AM110&lt;&gt;"", ISNUMBER(SEARCH(LEFT(SUBSTITUTE(AM110, "-",""),2), "F2_F5_F6"))), ROUNDDOWN(AA110*$AH$1%,-1), 0)),0)</f>
        <v>0</v>
      </c>
      <c r="AD110" s="64">
        <f t="shared" ref="AD110" si="2058">IF(Z110&gt;=$AJ$1,ROUNDDOWN(AA110*$AH$2%,-1),0)</f>
        <v>0</v>
      </c>
      <c r="AE110" s="112">
        <f t="shared" ref="AE110" ca="1" si="2059">AB110+AC110+AB111+AC111+AD110+AD111</f>
        <v>0</v>
      </c>
      <c r="AF110" s="112">
        <f t="shared" ref="AF110" ca="1" si="2060">AA110-AE110</f>
        <v>0</v>
      </c>
      <c r="AG110" s="116"/>
      <c r="AH110" s="116"/>
      <c r="AI110" s="116"/>
      <c r="AJ110" s="116"/>
      <c r="AK110" s="149"/>
      <c r="AL110" s="149"/>
      <c r="AM110" s="115"/>
      <c r="AN110" s="113" t="str">
        <f t="shared" ref="AN110" ca="1" si="2061">IFERROR(DATEDIF(DATE(IF(ISNUMBER(FIND(MID( SUBSTITUTE(D110, "-",""), 7, 1), "3478")), 2000, 1900)+MID(D110,1,2), MID(D110,3,2), MID(D110,5,2)), TODAY(), "Y"),"")</f>
        <v/>
      </c>
      <c r="AO110" s="112">
        <f>ROUNDDOWN(SUM(AP110:BE111),-1)</f>
        <v>0</v>
      </c>
      <c r="AP110" s="11">
        <f t="shared" ref="AP110" si="2062">IF($H110*I110&gt;150000,ROUNDDOWN(($H110*I110-150000)*6%*45%,0),0)</f>
        <v>0</v>
      </c>
      <c r="AQ110" s="12">
        <f t="shared" ref="AQ110" si="2063">IF($H110*J110&gt;150000,ROUNDDOWN(($H110*J110-150000)*6%*45%,0),0)</f>
        <v>0</v>
      </c>
      <c r="AR110" s="12">
        <f t="shared" ref="AR110" si="2064">IF($H110*K110&gt;150000,ROUNDDOWN(($H110*K110-150000)*6%*45%,0),0)</f>
        <v>0</v>
      </c>
      <c r="AS110" s="12">
        <f t="shared" ref="AS110" si="2065">IF($H110*L110&gt;150000,ROUNDDOWN(($H110*L110-150000)*6%*45%,0),0)</f>
        <v>0</v>
      </c>
      <c r="AT110" s="12">
        <f t="shared" ref="AT110" si="2066">IF($H110*M110&gt;150000,ROUNDDOWN(($H110*M110-150000)*6%*45%,0),0)</f>
        <v>0</v>
      </c>
      <c r="AU110" s="12">
        <f t="shared" ref="AU110" si="2067">IF($H110*N110&gt;150000,ROUNDDOWN(($H110*N110-150000)*6%*45%,0),0)</f>
        <v>0</v>
      </c>
      <c r="AV110" s="12">
        <f t="shared" ref="AV110" si="2068">IF($H110*O110&gt;150000,ROUNDDOWN(($H110*O110-150000)*6%*45%,0),0)</f>
        <v>0</v>
      </c>
      <c r="AW110" s="12">
        <f t="shared" ref="AW110" si="2069">IF($H110*P110&gt;150000,ROUNDDOWN(($H110*P110-150000)*6%*45%,0),0)</f>
        <v>0</v>
      </c>
      <c r="AX110" s="12">
        <f t="shared" ref="AX110" si="2070">IF($H110*Q110&gt;150000,ROUNDDOWN(($H110*Q110-150000)*6%*45%,0),0)</f>
        <v>0</v>
      </c>
      <c r="AY110" s="12">
        <f t="shared" ref="AY110" si="2071">IF($H110*R110&gt;150000,ROUNDDOWN(($H110*R110-150000)*6%*45%,0),0)</f>
        <v>0</v>
      </c>
      <c r="AZ110" s="12">
        <f t="shared" ref="AZ110" si="2072">IF($H110*S110&gt;150000,ROUNDDOWN(($H110*S110-150000)*6%*45%,0),0)</f>
        <v>0</v>
      </c>
      <c r="BA110" s="12">
        <f t="shared" ref="BA110" si="2073">IF($H110*T110&gt;150000,ROUNDDOWN(($H110*T110-150000)*6%*45%,0),0)</f>
        <v>0</v>
      </c>
      <c r="BB110" s="12">
        <f t="shared" ref="BB110" si="2074">IF($H110*U110&gt;150000,ROUNDDOWN(($H110*U110-150000)*6%*45%,0),0)</f>
        <v>0</v>
      </c>
      <c r="BC110" s="12">
        <f t="shared" ref="BC110" si="2075">IF($H110*V110&gt;150000,ROUNDDOWN(($H110*V110-150000)*6%*45%,0),0)</f>
        <v>0</v>
      </c>
      <c r="BD110" s="13">
        <f t="shared" ref="BD110" si="2076">IF($H110*W110&gt;150000,ROUNDDOWN(($H110*W110-150000)*6%*45%,0),0)</f>
        <v>0</v>
      </c>
      <c r="BE110" s="14"/>
    </row>
    <row r="111" spans="1:58" x14ac:dyDescent="0.3">
      <c r="A111" s="142"/>
      <c r="B111" s="116"/>
      <c r="C111" s="116"/>
      <c r="D111" s="143"/>
      <c r="E111" s="116"/>
      <c r="F111" s="116"/>
      <c r="G111" s="144"/>
      <c r="H111" s="112"/>
      <c r="I111" s="43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5"/>
      <c r="Y111" s="145"/>
      <c r="Z111" s="116"/>
      <c r="AA111" s="112"/>
      <c r="AB111" s="65">
        <f t="shared" ref="AB111" si="2077">ROUNDDOWN(AB110*10%,-1)</f>
        <v>0</v>
      </c>
      <c r="AC111" s="66">
        <f t="shared" ref="AC111" ca="1" si="2078">IFERROR(IF(AND( OR(COUNTIF(I110:X111, "&gt;0")&gt;=$AJ$1, AA110&gt;=$AJ$4),AN110&lt;60,AA110&lt;=$AH$5),ROUNDDOWN(ROUNDDOWN(AA110,-3)*$AH$4%,-1),IF(AND(COUNTIF(I110:X111,"&gt;0")&gt;=$AJ$1,AN110&lt;60,AA110&gt;$AH$5),$AJ$5,0)),0)</f>
        <v>0</v>
      </c>
      <c r="AD111" s="67">
        <f t="shared" ref="AD111" si="2079">IF(Z110&gt;=$AJ$1,ROUNDDOWN(AD110*$AH$3%/($AH$2*2%),-1),0)</f>
        <v>0</v>
      </c>
      <c r="AE111" s="112"/>
      <c r="AF111" s="112"/>
      <c r="AG111" s="116"/>
      <c r="AH111" s="116"/>
      <c r="AI111" s="116"/>
      <c r="AJ111" s="116"/>
      <c r="AK111" s="149"/>
      <c r="AL111" s="149"/>
      <c r="AM111" s="115"/>
      <c r="AN111" s="113"/>
      <c r="AO111" s="112"/>
      <c r="AP111" s="15">
        <f t="shared" ref="AP111" si="2080">IF($H110*I111&gt;150000,ROUNDDOWN(($H110*I111-150000)*6%*45%,0),0)</f>
        <v>0</v>
      </c>
      <c r="AQ111" s="16">
        <f t="shared" ref="AQ111" si="2081">IF($H110*J111&gt;150000,ROUNDDOWN(($H110*J111-150000)*6%*45%,0),0)</f>
        <v>0</v>
      </c>
      <c r="AR111" s="16">
        <f t="shared" ref="AR111" si="2082">IF($H110*K111&gt;150000,ROUNDDOWN(($H110*K111-150000)*6%*45%,0),0)</f>
        <v>0</v>
      </c>
      <c r="AS111" s="16">
        <f t="shared" ref="AS111" si="2083">IF($H110*L111&gt;150000,ROUNDDOWN(($H110*L111-150000)*6%*45%,0),0)</f>
        <v>0</v>
      </c>
      <c r="AT111" s="16">
        <f t="shared" ref="AT111" si="2084">IF($H110*M111&gt;150000,ROUNDDOWN(($H110*M111-150000)*6%*45%,0),0)</f>
        <v>0</v>
      </c>
      <c r="AU111" s="16">
        <f t="shared" ref="AU111" si="2085">IF($H110*N111&gt;150000,ROUNDDOWN(($H110*N111-150000)*6%*45%,0),0)</f>
        <v>0</v>
      </c>
      <c r="AV111" s="16">
        <f t="shared" ref="AV111" si="2086">IF($H110*O111&gt;150000,ROUNDDOWN(($H110*O111-150000)*6%*45%,0),0)</f>
        <v>0</v>
      </c>
      <c r="AW111" s="16">
        <f t="shared" ref="AW111" si="2087">IF($H110*P111&gt;150000,ROUNDDOWN(($H110*P111-150000)*6%*45%,0),0)</f>
        <v>0</v>
      </c>
      <c r="AX111" s="16">
        <f t="shared" ref="AX111" si="2088">IF($H110*Q111&gt;150000,ROUNDDOWN(($H110*Q111-150000)*6%*45%,0),0)</f>
        <v>0</v>
      </c>
      <c r="AY111" s="16">
        <f t="shared" ref="AY111" si="2089">IF($H110*R111&gt;150000,ROUNDDOWN(($H110*R111-150000)*6%*45%,0),0)</f>
        <v>0</v>
      </c>
      <c r="AZ111" s="16">
        <f t="shared" ref="AZ111" si="2090">IF($H110*S111&gt;150000,ROUNDDOWN(($H110*S111-150000)*6%*45%,0),0)</f>
        <v>0</v>
      </c>
      <c r="BA111" s="16">
        <f t="shared" ref="BA111" si="2091">IF($H110*T111&gt;150000,ROUNDDOWN(($H110*T111-150000)*6%*45%,0),0)</f>
        <v>0</v>
      </c>
      <c r="BB111" s="16">
        <f t="shared" ref="BB111" si="2092">IF($H110*U111&gt;150000,ROUNDDOWN(($H110*U111-150000)*6%*45%,0),0)</f>
        <v>0</v>
      </c>
      <c r="BC111" s="16">
        <f t="shared" ref="BC111" si="2093">IF($H110*V111&gt;150000,ROUNDDOWN(($H110*V111-150000)*6%*45%,0),0)</f>
        <v>0</v>
      </c>
      <c r="BD111" s="16">
        <f t="shared" ref="BD111" si="2094">IF($H110*W111&gt;150000,ROUNDDOWN(($H110*W111-150000)*6%*45%,0),0)</f>
        <v>0</v>
      </c>
      <c r="BE111" s="17">
        <f t="shared" ref="BE111" si="2095">IF($H110*X111&gt;150000,ROUNDDOWN(($H110*X111-150000)*6%*45%,0),0)</f>
        <v>0</v>
      </c>
      <c r="BF111" s="28"/>
    </row>
    <row r="112" spans="1:58" x14ac:dyDescent="0.3">
      <c r="A112" s="142">
        <v>53</v>
      </c>
      <c r="B112" s="116" t="str">
        <f t="shared" ref="B112" si="2096">IF(LEN(D112)&gt;1,IF(VALUE(MID(RIGHT(D112,7),1,1))&gt;4,"외국인",IF(VALUE(RIGHT(11-MOD((MID(D112,1,1)*2+MID(D112,2,1)*3+MID(D112,3,1)*4+MID(D112,4,1)*5+MID(D112,5,1)*6+MID(D112,6,1)*7+MID(RIGHT(D112,7),1,1)*8+MID(RIGHT(D112,7),2,1)*9+MID(RIGHT(D112,7),3,1)*2+MID(RIGHT(D112,7),4,1)*3+MID(RIGHT(D112,7),5,1)*4+MID(RIGHT(D112,7),6,1)*5),11),1))=VALUE(RIGHT(D112,1)),"","오류")),"")</f>
        <v/>
      </c>
      <c r="C112" s="116"/>
      <c r="D112" s="143"/>
      <c r="E112" s="116"/>
      <c r="F112" s="116"/>
      <c r="G112" s="144"/>
      <c r="H112" s="112"/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40"/>
      <c r="T112" s="40"/>
      <c r="U112" s="39"/>
      <c r="V112" s="39"/>
      <c r="W112" s="41"/>
      <c r="X112" s="42"/>
      <c r="Y112" s="145">
        <f>SUM(I112:X113)</f>
        <v>0</v>
      </c>
      <c r="Z112" s="116">
        <f>COUNTIF(I112:X113,"&gt;0")</f>
        <v>0</v>
      </c>
      <c r="AA112" s="112">
        <f t="shared" ref="AA112" si="2097">H112*Y112</f>
        <v>0</v>
      </c>
      <c r="AB112" s="62">
        <f t="shared" ref="AB112" si="2098">IF(AO112&lt;1000, 0, AO112)</f>
        <v>0</v>
      </c>
      <c r="AC112" s="63">
        <f ca="1">IF(IFERROR($AN112&lt;65,FALSE), IF(B112&lt;&gt;"외국인", ROUNDDOWN(AA112*$AH$1%,-1), IF(AND(AM112&lt;&gt;"", ISNUMBER(SEARCH(LEFT(SUBSTITUTE(AM112, "-",""),2), "F2_F5_F6"))), ROUNDDOWN(AA112*$AH$1%,-1), 0)),0)</f>
        <v>0</v>
      </c>
      <c r="AD112" s="64">
        <f t="shared" ref="AD112" si="2099">IF(Z112&gt;=$AJ$1,ROUNDDOWN(AA112*$AH$2%,-1),0)</f>
        <v>0</v>
      </c>
      <c r="AE112" s="112">
        <f t="shared" ref="AE112" ca="1" si="2100">AB112+AC112+AB113+AC113+AD112+AD113</f>
        <v>0</v>
      </c>
      <c r="AF112" s="112">
        <f t="shared" ref="AF112" ca="1" si="2101">AA112-AE112</f>
        <v>0</v>
      </c>
      <c r="AG112" s="116"/>
      <c r="AH112" s="116"/>
      <c r="AI112" s="116"/>
      <c r="AJ112" s="116"/>
      <c r="AK112" s="149"/>
      <c r="AL112" s="149"/>
      <c r="AM112" s="115"/>
      <c r="AN112" s="113" t="str">
        <f t="shared" ref="AN112" ca="1" si="2102">IFERROR(DATEDIF(DATE(IF(ISNUMBER(FIND(MID( SUBSTITUTE(D112, "-",""), 7, 1), "3478")), 2000, 1900)+MID(D112,1,2), MID(D112,3,2), MID(D112,5,2)), TODAY(), "Y"),"")</f>
        <v/>
      </c>
      <c r="AO112" s="112">
        <f>ROUNDDOWN(SUM(AP112:BE113),-1)</f>
        <v>0</v>
      </c>
      <c r="AP112" s="11">
        <f t="shared" ref="AP112" si="2103">IF($H112*I112&gt;150000,ROUNDDOWN(($H112*I112-150000)*6%*45%,0),0)</f>
        <v>0</v>
      </c>
      <c r="AQ112" s="12">
        <f t="shared" ref="AQ112" si="2104">IF($H112*J112&gt;150000,ROUNDDOWN(($H112*J112-150000)*6%*45%,0),0)</f>
        <v>0</v>
      </c>
      <c r="AR112" s="12">
        <f t="shared" ref="AR112" si="2105">IF($H112*K112&gt;150000,ROUNDDOWN(($H112*K112-150000)*6%*45%,0),0)</f>
        <v>0</v>
      </c>
      <c r="AS112" s="12">
        <f t="shared" ref="AS112" si="2106">IF($H112*L112&gt;150000,ROUNDDOWN(($H112*L112-150000)*6%*45%,0),0)</f>
        <v>0</v>
      </c>
      <c r="AT112" s="12">
        <f t="shared" ref="AT112" si="2107">IF($H112*M112&gt;150000,ROUNDDOWN(($H112*M112-150000)*6%*45%,0),0)</f>
        <v>0</v>
      </c>
      <c r="AU112" s="12">
        <f t="shared" ref="AU112" si="2108">IF($H112*N112&gt;150000,ROUNDDOWN(($H112*N112-150000)*6%*45%,0),0)</f>
        <v>0</v>
      </c>
      <c r="AV112" s="12">
        <f t="shared" ref="AV112" si="2109">IF($H112*O112&gt;150000,ROUNDDOWN(($H112*O112-150000)*6%*45%,0),0)</f>
        <v>0</v>
      </c>
      <c r="AW112" s="12">
        <f t="shared" ref="AW112" si="2110">IF($H112*P112&gt;150000,ROUNDDOWN(($H112*P112-150000)*6%*45%,0),0)</f>
        <v>0</v>
      </c>
      <c r="AX112" s="12">
        <f t="shared" ref="AX112" si="2111">IF($H112*Q112&gt;150000,ROUNDDOWN(($H112*Q112-150000)*6%*45%,0),0)</f>
        <v>0</v>
      </c>
      <c r="AY112" s="12">
        <f t="shared" ref="AY112" si="2112">IF($H112*R112&gt;150000,ROUNDDOWN(($H112*R112-150000)*6%*45%,0),0)</f>
        <v>0</v>
      </c>
      <c r="AZ112" s="12">
        <f t="shared" ref="AZ112" si="2113">IF($H112*S112&gt;150000,ROUNDDOWN(($H112*S112-150000)*6%*45%,0),0)</f>
        <v>0</v>
      </c>
      <c r="BA112" s="12">
        <f t="shared" ref="BA112" si="2114">IF($H112*T112&gt;150000,ROUNDDOWN(($H112*T112-150000)*6%*45%,0),0)</f>
        <v>0</v>
      </c>
      <c r="BB112" s="12">
        <f t="shared" ref="BB112" si="2115">IF($H112*U112&gt;150000,ROUNDDOWN(($H112*U112-150000)*6%*45%,0),0)</f>
        <v>0</v>
      </c>
      <c r="BC112" s="12">
        <f t="shared" ref="BC112" si="2116">IF($H112*V112&gt;150000,ROUNDDOWN(($H112*V112-150000)*6%*45%,0),0)</f>
        <v>0</v>
      </c>
      <c r="BD112" s="13">
        <f t="shared" ref="BD112" si="2117">IF($H112*W112&gt;150000,ROUNDDOWN(($H112*W112-150000)*6%*45%,0),0)</f>
        <v>0</v>
      </c>
      <c r="BE112" s="14"/>
    </row>
    <row r="113" spans="1:58" x14ac:dyDescent="0.3">
      <c r="A113" s="142"/>
      <c r="B113" s="116"/>
      <c r="C113" s="116"/>
      <c r="D113" s="143"/>
      <c r="E113" s="116"/>
      <c r="F113" s="116"/>
      <c r="G113" s="144"/>
      <c r="H113" s="112"/>
      <c r="I113" s="43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5"/>
      <c r="Y113" s="145"/>
      <c r="Z113" s="116"/>
      <c r="AA113" s="112"/>
      <c r="AB113" s="65">
        <f t="shared" ref="AB113" si="2118">ROUNDDOWN(AB112*10%,-1)</f>
        <v>0</v>
      </c>
      <c r="AC113" s="66">
        <f t="shared" ref="AC113" ca="1" si="2119">IFERROR(IF(AND( OR(COUNTIF(I112:X113, "&gt;0")&gt;=$AJ$1, AA112&gt;=$AJ$4),AN112&lt;60,AA112&lt;=$AH$5),ROUNDDOWN(ROUNDDOWN(AA112,-3)*$AH$4%,-1),IF(AND(COUNTIF(I112:X113,"&gt;0")&gt;=$AJ$1,AN112&lt;60,AA112&gt;$AH$5),$AJ$5,0)),0)</f>
        <v>0</v>
      </c>
      <c r="AD113" s="67">
        <f t="shared" ref="AD113" si="2120">IF(Z112&gt;=$AJ$1,ROUNDDOWN(AD112*$AH$3%/($AH$2*2%),-1),0)</f>
        <v>0</v>
      </c>
      <c r="AE113" s="112"/>
      <c r="AF113" s="112"/>
      <c r="AG113" s="116"/>
      <c r="AH113" s="116"/>
      <c r="AI113" s="116"/>
      <c r="AJ113" s="116"/>
      <c r="AK113" s="149"/>
      <c r="AL113" s="149"/>
      <c r="AM113" s="115"/>
      <c r="AN113" s="113"/>
      <c r="AO113" s="112"/>
      <c r="AP113" s="15">
        <f t="shared" ref="AP113" si="2121">IF($H112*I113&gt;150000,ROUNDDOWN(($H112*I113-150000)*6%*45%,0),0)</f>
        <v>0</v>
      </c>
      <c r="AQ113" s="16">
        <f t="shared" ref="AQ113" si="2122">IF($H112*J113&gt;150000,ROUNDDOWN(($H112*J113-150000)*6%*45%,0),0)</f>
        <v>0</v>
      </c>
      <c r="AR113" s="16">
        <f t="shared" ref="AR113" si="2123">IF($H112*K113&gt;150000,ROUNDDOWN(($H112*K113-150000)*6%*45%,0),0)</f>
        <v>0</v>
      </c>
      <c r="AS113" s="16">
        <f t="shared" ref="AS113" si="2124">IF($H112*L113&gt;150000,ROUNDDOWN(($H112*L113-150000)*6%*45%,0),0)</f>
        <v>0</v>
      </c>
      <c r="AT113" s="16">
        <f t="shared" ref="AT113" si="2125">IF($H112*M113&gt;150000,ROUNDDOWN(($H112*M113-150000)*6%*45%,0),0)</f>
        <v>0</v>
      </c>
      <c r="AU113" s="16">
        <f t="shared" ref="AU113" si="2126">IF($H112*N113&gt;150000,ROUNDDOWN(($H112*N113-150000)*6%*45%,0),0)</f>
        <v>0</v>
      </c>
      <c r="AV113" s="16">
        <f t="shared" ref="AV113" si="2127">IF($H112*O113&gt;150000,ROUNDDOWN(($H112*O113-150000)*6%*45%,0),0)</f>
        <v>0</v>
      </c>
      <c r="AW113" s="16">
        <f t="shared" ref="AW113" si="2128">IF($H112*P113&gt;150000,ROUNDDOWN(($H112*P113-150000)*6%*45%,0),0)</f>
        <v>0</v>
      </c>
      <c r="AX113" s="16">
        <f t="shared" ref="AX113" si="2129">IF($H112*Q113&gt;150000,ROUNDDOWN(($H112*Q113-150000)*6%*45%,0),0)</f>
        <v>0</v>
      </c>
      <c r="AY113" s="16">
        <f t="shared" ref="AY113" si="2130">IF($H112*R113&gt;150000,ROUNDDOWN(($H112*R113-150000)*6%*45%,0),0)</f>
        <v>0</v>
      </c>
      <c r="AZ113" s="16">
        <f t="shared" ref="AZ113" si="2131">IF($H112*S113&gt;150000,ROUNDDOWN(($H112*S113-150000)*6%*45%,0),0)</f>
        <v>0</v>
      </c>
      <c r="BA113" s="16">
        <f t="shared" ref="BA113" si="2132">IF($H112*T113&gt;150000,ROUNDDOWN(($H112*T113-150000)*6%*45%,0),0)</f>
        <v>0</v>
      </c>
      <c r="BB113" s="16">
        <f t="shared" ref="BB113" si="2133">IF($H112*U113&gt;150000,ROUNDDOWN(($H112*U113-150000)*6%*45%,0),0)</f>
        <v>0</v>
      </c>
      <c r="BC113" s="16">
        <f t="shared" ref="BC113" si="2134">IF($H112*V113&gt;150000,ROUNDDOWN(($H112*V113-150000)*6%*45%,0),0)</f>
        <v>0</v>
      </c>
      <c r="BD113" s="16">
        <f t="shared" ref="BD113" si="2135">IF($H112*W113&gt;150000,ROUNDDOWN(($H112*W113-150000)*6%*45%,0),0)</f>
        <v>0</v>
      </c>
      <c r="BE113" s="17">
        <f t="shared" ref="BE113" si="2136">IF($H112*X113&gt;150000,ROUNDDOWN(($H112*X113-150000)*6%*45%,0),0)</f>
        <v>0</v>
      </c>
      <c r="BF113" s="28"/>
    </row>
    <row r="114" spans="1:58" x14ac:dyDescent="0.3">
      <c r="A114" s="142">
        <v>54</v>
      </c>
      <c r="B114" s="116" t="str">
        <f t="shared" ref="B114" si="2137">IF(LEN(D114)&gt;1,IF(VALUE(MID(RIGHT(D114,7),1,1))&gt;4,"외국인",IF(VALUE(RIGHT(11-MOD((MID(D114,1,1)*2+MID(D114,2,1)*3+MID(D114,3,1)*4+MID(D114,4,1)*5+MID(D114,5,1)*6+MID(D114,6,1)*7+MID(RIGHT(D114,7),1,1)*8+MID(RIGHT(D114,7),2,1)*9+MID(RIGHT(D114,7),3,1)*2+MID(RIGHT(D114,7),4,1)*3+MID(RIGHT(D114,7),5,1)*4+MID(RIGHT(D114,7),6,1)*5),11),1))=VALUE(RIGHT(D114,1)),"","오류")),"")</f>
        <v/>
      </c>
      <c r="C114" s="116"/>
      <c r="D114" s="143"/>
      <c r="E114" s="116"/>
      <c r="F114" s="116"/>
      <c r="G114" s="144"/>
      <c r="H114" s="112"/>
      <c r="I114" s="38"/>
      <c r="J114" s="39"/>
      <c r="K114" s="39"/>
      <c r="L114" s="39"/>
      <c r="M114" s="39"/>
      <c r="N114" s="39"/>
      <c r="O114" s="39"/>
      <c r="P114" s="39"/>
      <c r="Q114" s="39"/>
      <c r="R114" s="39"/>
      <c r="S114" s="40"/>
      <c r="T114" s="40"/>
      <c r="U114" s="39"/>
      <c r="V114" s="39"/>
      <c r="W114" s="41"/>
      <c r="X114" s="42"/>
      <c r="Y114" s="145">
        <f>SUM(I114:X115)</f>
        <v>0</v>
      </c>
      <c r="Z114" s="116">
        <f>COUNTIF(I114:X115,"&gt;0")</f>
        <v>0</v>
      </c>
      <c r="AA114" s="112">
        <f t="shared" ref="AA114" si="2138">H114*Y114</f>
        <v>0</v>
      </c>
      <c r="AB114" s="62">
        <f t="shared" ref="AB114" si="2139">IF(AO114&lt;1000, 0, AO114)</f>
        <v>0</v>
      </c>
      <c r="AC114" s="63">
        <f ca="1">IF(IFERROR($AN114&lt;65,FALSE), IF(B114&lt;&gt;"외국인", ROUNDDOWN(AA114*$AH$1%,-1), IF(AND(AM114&lt;&gt;"", ISNUMBER(SEARCH(LEFT(SUBSTITUTE(AM114, "-",""),2), "F2_F5_F6"))), ROUNDDOWN(AA114*$AH$1%,-1), 0)),0)</f>
        <v>0</v>
      </c>
      <c r="AD114" s="64">
        <f t="shared" ref="AD114" si="2140">IF(Z114&gt;=$AJ$1,ROUNDDOWN(AA114*$AH$2%,-1),0)</f>
        <v>0</v>
      </c>
      <c r="AE114" s="112">
        <f t="shared" ref="AE114" ca="1" si="2141">AB114+AC114+AB115+AC115+AD114+AD115</f>
        <v>0</v>
      </c>
      <c r="AF114" s="112">
        <f t="shared" ref="AF114" ca="1" si="2142">AA114-AE114</f>
        <v>0</v>
      </c>
      <c r="AG114" s="116"/>
      <c r="AH114" s="116"/>
      <c r="AI114" s="116"/>
      <c r="AJ114" s="116"/>
      <c r="AK114" s="149"/>
      <c r="AL114" s="149"/>
      <c r="AM114" s="115"/>
      <c r="AN114" s="113" t="str">
        <f t="shared" ref="AN114" ca="1" si="2143">IFERROR(DATEDIF(DATE(IF(ISNUMBER(FIND(MID( SUBSTITUTE(D114, "-",""), 7, 1), "3478")), 2000, 1900)+MID(D114,1,2), MID(D114,3,2), MID(D114,5,2)), TODAY(), "Y"),"")</f>
        <v/>
      </c>
      <c r="AO114" s="112">
        <f>ROUNDDOWN(SUM(AP114:BE115),-1)</f>
        <v>0</v>
      </c>
      <c r="AP114" s="11">
        <f t="shared" ref="AP114" si="2144">IF($H114*I114&gt;150000,ROUNDDOWN(($H114*I114-150000)*6%*45%,0),0)</f>
        <v>0</v>
      </c>
      <c r="AQ114" s="12">
        <f t="shared" ref="AQ114" si="2145">IF($H114*J114&gt;150000,ROUNDDOWN(($H114*J114-150000)*6%*45%,0),0)</f>
        <v>0</v>
      </c>
      <c r="AR114" s="12">
        <f t="shared" ref="AR114" si="2146">IF($H114*K114&gt;150000,ROUNDDOWN(($H114*K114-150000)*6%*45%,0),0)</f>
        <v>0</v>
      </c>
      <c r="AS114" s="12">
        <f t="shared" ref="AS114" si="2147">IF($H114*L114&gt;150000,ROUNDDOWN(($H114*L114-150000)*6%*45%,0),0)</f>
        <v>0</v>
      </c>
      <c r="AT114" s="12">
        <f t="shared" ref="AT114" si="2148">IF($H114*M114&gt;150000,ROUNDDOWN(($H114*M114-150000)*6%*45%,0),0)</f>
        <v>0</v>
      </c>
      <c r="AU114" s="12">
        <f t="shared" ref="AU114" si="2149">IF($H114*N114&gt;150000,ROUNDDOWN(($H114*N114-150000)*6%*45%,0),0)</f>
        <v>0</v>
      </c>
      <c r="AV114" s="12">
        <f t="shared" ref="AV114" si="2150">IF($H114*O114&gt;150000,ROUNDDOWN(($H114*O114-150000)*6%*45%,0),0)</f>
        <v>0</v>
      </c>
      <c r="AW114" s="12">
        <f t="shared" ref="AW114" si="2151">IF($H114*P114&gt;150000,ROUNDDOWN(($H114*P114-150000)*6%*45%,0),0)</f>
        <v>0</v>
      </c>
      <c r="AX114" s="12">
        <f t="shared" ref="AX114" si="2152">IF($H114*Q114&gt;150000,ROUNDDOWN(($H114*Q114-150000)*6%*45%,0),0)</f>
        <v>0</v>
      </c>
      <c r="AY114" s="12">
        <f t="shared" ref="AY114" si="2153">IF($H114*R114&gt;150000,ROUNDDOWN(($H114*R114-150000)*6%*45%,0),0)</f>
        <v>0</v>
      </c>
      <c r="AZ114" s="12">
        <f t="shared" ref="AZ114" si="2154">IF($H114*S114&gt;150000,ROUNDDOWN(($H114*S114-150000)*6%*45%,0),0)</f>
        <v>0</v>
      </c>
      <c r="BA114" s="12">
        <f t="shared" ref="BA114" si="2155">IF($H114*T114&gt;150000,ROUNDDOWN(($H114*T114-150000)*6%*45%,0),0)</f>
        <v>0</v>
      </c>
      <c r="BB114" s="12">
        <f t="shared" ref="BB114" si="2156">IF($H114*U114&gt;150000,ROUNDDOWN(($H114*U114-150000)*6%*45%,0),0)</f>
        <v>0</v>
      </c>
      <c r="BC114" s="12">
        <f t="shared" ref="BC114" si="2157">IF($H114*V114&gt;150000,ROUNDDOWN(($H114*V114-150000)*6%*45%,0),0)</f>
        <v>0</v>
      </c>
      <c r="BD114" s="13">
        <f t="shared" ref="BD114" si="2158">IF($H114*W114&gt;150000,ROUNDDOWN(($H114*W114-150000)*6%*45%,0),0)</f>
        <v>0</v>
      </c>
      <c r="BE114" s="14"/>
    </row>
    <row r="115" spans="1:58" x14ac:dyDescent="0.3">
      <c r="A115" s="142"/>
      <c r="B115" s="116"/>
      <c r="C115" s="116"/>
      <c r="D115" s="143"/>
      <c r="E115" s="116"/>
      <c r="F115" s="116"/>
      <c r="G115" s="144"/>
      <c r="H115" s="112"/>
      <c r="I115" s="43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5"/>
      <c r="Y115" s="145"/>
      <c r="Z115" s="116"/>
      <c r="AA115" s="112"/>
      <c r="AB115" s="65">
        <f t="shared" ref="AB115" si="2159">ROUNDDOWN(AB114*10%,-1)</f>
        <v>0</v>
      </c>
      <c r="AC115" s="66">
        <f t="shared" ref="AC115" ca="1" si="2160">IFERROR(IF(AND( OR(COUNTIF(I114:X115, "&gt;0")&gt;=$AJ$1, AA114&gt;=$AJ$4),AN114&lt;60,AA114&lt;=$AH$5),ROUNDDOWN(ROUNDDOWN(AA114,-3)*$AH$4%,-1),IF(AND(COUNTIF(I114:X115,"&gt;0")&gt;=$AJ$1,AN114&lt;60,AA114&gt;$AH$5),$AJ$5,0)),0)</f>
        <v>0</v>
      </c>
      <c r="AD115" s="67">
        <f t="shared" ref="AD115" si="2161">IF(Z114&gt;=$AJ$1,ROUNDDOWN(AD114*$AH$3%/($AH$2*2%),-1),0)</f>
        <v>0</v>
      </c>
      <c r="AE115" s="112"/>
      <c r="AF115" s="112"/>
      <c r="AG115" s="116"/>
      <c r="AH115" s="116"/>
      <c r="AI115" s="116"/>
      <c r="AJ115" s="116"/>
      <c r="AK115" s="149"/>
      <c r="AL115" s="149"/>
      <c r="AM115" s="115"/>
      <c r="AN115" s="113"/>
      <c r="AO115" s="112"/>
      <c r="AP115" s="15">
        <f t="shared" ref="AP115" si="2162">IF($H114*I115&gt;150000,ROUNDDOWN(($H114*I115-150000)*6%*45%,0),0)</f>
        <v>0</v>
      </c>
      <c r="AQ115" s="16">
        <f t="shared" ref="AQ115" si="2163">IF($H114*J115&gt;150000,ROUNDDOWN(($H114*J115-150000)*6%*45%,0),0)</f>
        <v>0</v>
      </c>
      <c r="AR115" s="16">
        <f t="shared" ref="AR115" si="2164">IF($H114*K115&gt;150000,ROUNDDOWN(($H114*K115-150000)*6%*45%,0),0)</f>
        <v>0</v>
      </c>
      <c r="AS115" s="16">
        <f t="shared" ref="AS115" si="2165">IF($H114*L115&gt;150000,ROUNDDOWN(($H114*L115-150000)*6%*45%,0),0)</f>
        <v>0</v>
      </c>
      <c r="AT115" s="16">
        <f t="shared" ref="AT115" si="2166">IF($H114*M115&gt;150000,ROUNDDOWN(($H114*M115-150000)*6%*45%,0),0)</f>
        <v>0</v>
      </c>
      <c r="AU115" s="16">
        <f t="shared" ref="AU115" si="2167">IF($H114*N115&gt;150000,ROUNDDOWN(($H114*N115-150000)*6%*45%,0),0)</f>
        <v>0</v>
      </c>
      <c r="AV115" s="16">
        <f t="shared" ref="AV115" si="2168">IF($H114*O115&gt;150000,ROUNDDOWN(($H114*O115-150000)*6%*45%,0),0)</f>
        <v>0</v>
      </c>
      <c r="AW115" s="16">
        <f t="shared" ref="AW115" si="2169">IF($H114*P115&gt;150000,ROUNDDOWN(($H114*P115-150000)*6%*45%,0),0)</f>
        <v>0</v>
      </c>
      <c r="AX115" s="16">
        <f t="shared" ref="AX115" si="2170">IF($H114*Q115&gt;150000,ROUNDDOWN(($H114*Q115-150000)*6%*45%,0),0)</f>
        <v>0</v>
      </c>
      <c r="AY115" s="16">
        <f t="shared" ref="AY115" si="2171">IF($H114*R115&gt;150000,ROUNDDOWN(($H114*R115-150000)*6%*45%,0),0)</f>
        <v>0</v>
      </c>
      <c r="AZ115" s="16">
        <f t="shared" ref="AZ115" si="2172">IF($H114*S115&gt;150000,ROUNDDOWN(($H114*S115-150000)*6%*45%,0),0)</f>
        <v>0</v>
      </c>
      <c r="BA115" s="16">
        <f t="shared" ref="BA115" si="2173">IF($H114*T115&gt;150000,ROUNDDOWN(($H114*T115-150000)*6%*45%,0),0)</f>
        <v>0</v>
      </c>
      <c r="BB115" s="16">
        <f t="shared" ref="BB115" si="2174">IF($H114*U115&gt;150000,ROUNDDOWN(($H114*U115-150000)*6%*45%,0),0)</f>
        <v>0</v>
      </c>
      <c r="BC115" s="16">
        <f t="shared" ref="BC115" si="2175">IF($H114*V115&gt;150000,ROUNDDOWN(($H114*V115-150000)*6%*45%,0),0)</f>
        <v>0</v>
      </c>
      <c r="BD115" s="16">
        <f t="shared" ref="BD115" si="2176">IF($H114*W115&gt;150000,ROUNDDOWN(($H114*W115-150000)*6%*45%,0),0)</f>
        <v>0</v>
      </c>
      <c r="BE115" s="17">
        <f t="shared" ref="BE115" si="2177">IF($H114*X115&gt;150000,ROUNDDOWN(($H114*X115-150000)*6%*45%,0),0)</f>
        <v>0</v>
      </c>
      <c r="BF115" s="28"/>
    </row>
    <row r="116" spans="1:58" x14ac:dyDescent="0.3">
      <c r="A116" s="142">
        <v>55</v>
      </c>
      <c r="B116" s="116" t="str">
        <f t="shared" ref="B116" si="2178">IF(LEN(D116)&gt;1,IF(VALUE(MID(RIGHT(D116,7),1,1))&gt;4,"외국인",IF(VALUE(RIGHT(11-MOD((MID(D116,1,1)*2+MID(D116,2,1)*3+MID(D116,3,1)*4+MID(D116,4,1)*5+MID(D116,5,1)*6+MID(D116,6,1)*7+MID(RIGHT(D116,7),1,1)*8+MID(RIGHT(D116,7),2,1)*9+MID(RIGHT(D116,7),3,1)*2+MID(RIGHT(D116,7),4,1)*3+MID(RIGHT(D116,7),5,1)*4+MID(RIGHT(D116,7),6,1)*5),11),1))=VALUE(RIGHT(D116,1)),"","오류")),"")</f>
        <v/>
      </c>
      <c r="C116" s="116"/>
      <c r="D116" s="143"/>
      <c r="E116" s="116"/>
      <c r="F116" s="116"/>
      <c r="G116" s="144"/>
      <c r="H116" s="112"/>
      <c r="I116" s="38"/>
      <c r="J116" s="39"/>
      <c r="K116" s="39"/>
      <c r="L116" s="39"/>
      <c r="M116" s="39"/>
      <c r="N116" s="39"/>
      <c r="O116" s="39"/>
      <c r="P116" s="39"/>
      <c r="Q116" s="39"/>
      <c r="R116" s="39"/>
      <c r="S116" s="40"/>
      <c r="T116" s="40"/>
      <c r="U116" s="39"/>
      <c r="V116" s="39"/>
      <c r="W116" s="41"/>
      <c r="X116" s="42"/>
      <c r="Y116" s="145">
        <f>SUM(I116:X117)</f>
        <v>0</v>
      </c>
      <c r="Z116" s="116">
        <f>COUNTIF(I116:X117,"&gt;0")</f>
        <v>0</v>
      </c>
      <c r="AA116" s="112">
        <f t="shared" ref="AA116" si="2179">H116*Y116</f>
        <v>0</v>
      </c>
      <c r="AB116" s="62">
        <f t="shared" ref="AB116" si="2180">IF(AO116&lt;1000, 0, AO116)</f>
        <v>0</v>
      </c>
      <c r="AC116" s="63">
        <f ca="1">IF(IFERROR($AN116&lt;65,FALSE), IF(B116&lt;&gt;"외국인", ROUNDDOWN(AA116*$AH$1%,-1), IF(AND(AM116&lt;&gt;"", ISNUMBER(SEARCH(LEFT(SUBSTITUTE(AM116, "-",""),2), "F2_F5_F6"))), ROUNDDOWN(AA116*$AH$1%,-1), 0)),0)</f>
        <v>0</v>
      </c>
      <c r="AD116" s="64">
        <f t="shared" ref="AD116" si="2181">IF(Z116&gt;=$AJ$1,ROUNDDOWN(AA116*$AH$2%,-1),0)</f>
        <v>0</v>
      </c>
      <c r="AE116" s="112">
        <f t="shared" ref="AE116" ca="1" si="2182">AB116+AC116+AB117+AC117+AD116+AD117</f>
        <v>0</v>
      </c>
      <c r="AF116" s="112">
        <f t="shared" ref="AF116" ca="1" si="2183">AA116-AE116</f>
        <v>0</v>
      </c>
      <c r="AG116" s="116"/>
      <c r="AH116" s="116"/>
      <c r="AI116" s="116"/>
      <c r="AJ116" s="116"/>
      <c r="AK116" s="149"/>
      <c r="AL116" s="149"/>
      <c r="AM116" s="115"/>
      <c r="AN116" s="113" t="str">
        <f t="shared" ref="AN116" ca="1" si="2184">IFERROR(DATEDIF(DATE(IF(ISNUMBER(FIND(MID( SUBSTITUTE(D116, "-",""), 7, 1), "3478")), 2000, 1900)+MID(D116,1,2), MID(D116,3,2), MID(D116,5,2)), TODAY(), "Y"),"")</f>
        <v/>
      </c>
      <c r="AO116" s="112">
        <f>ROUNDDOWN(SUM(AP116:BE117),-1)</f>
        <v>0</v>
      </c>
      <c r="AP116" s="11">
        <f t="shared" ref="AP116" si="2185">IF($H116*I116&gt;150000,ROUNDDOWN(($H116*I116-150000)*6%*45%,0),0)</f>
        <v>0</v>
      </c>
      <c r="AQ116" s="12">
        <f t="shared" ref="AQ116" si="2186">IF($H116*J116&gt;150000,ROUNDDOWN(($H116*J116-150000)*6%*45%,0),0)</f>
        <v>0</v>
      </c>
      <c r="AR116" s="12">
        <f t="shared" ref="AR116" si="2187">IF($H116*K116&gt;150000,ROUNDDOWN(($H116*K116-150000)*6%*45%,0),0)</f>
        <v>0</v>
      </c>
      <c r="AS116" s="12">
        <f t="shared" ref="AS116" si="2188">IF($H116*L116&gt;150000,ROUNDDOWN(($H116*L116-150000)*6%*45%,0),0)</f>
        <v>0</v>
      </c>
      <c r="AT116" s="12">
        <f t="shared" ref="AT116" si="2189">IF($H116*M116&gt;150000,ROUNDDOWN(($H116*M116-150000)*6%*45%,0),0)</f>
        <v>0</v>
      </c>
      <c r="AU116" s="12">
        <f t="shared" ref="AU116" si="2190">IF($H116*N116&gt;150000,ROUNDDOWN(($H116*N116-150000)*6%*45%,0),0)</f>
        <v>0</v>
      </c>
      <c r="AV116" s="12">
        <f t="shared" ref="AV116" si="2191">IF($H116*O116&gt;150000,ROUNDDOWN(($H116*O116-150000)*6%*45%,0),0)</f>
        <v>0</v>
      </c>
      <c r="AW116" s="12">
        <f t="shared" ref="AW116" si="2192">IF($H116*P116&gt;150000,ROUNDDOWN(($H116*P116-150000)*6%*45%,0),0)</f>
        <v>0</v>
      </c>
      <c r="AX116" s="12">
        <f t="shared" ref="AX116" si="2193">IF($H116*Q116&gt;150000,ROUNDDOWN(($H116*Q116-150000)*6%*45%,0),0)</f>
        <v>0</v>
      </c>
      <c r="AY116" s="12">
        <f t="shared" ref="AY116" si="2194">IF($H116*R116&gt;150000,ROUNDDOWN(($H116*R116-150000)*6%*45%,0),0)</f>
        <v>0</v>
      </c>
      <c r="AZ116" s="12">
        <f t="shared" ref="AZ116" si="2195">IF($H116*S116&gt;150000,ROUNDDOWN(($H116*S116-150000)*6%*45%,0),0)</f>
        <v>0</v>
      </c>
      <c r="BA116" s="12">
        <f t="shared" ref="BA116" si="2196">IF($H116*T116&gt;150000,ROUNDDOWN(($H116*T116-150000)*6%*45%,0),0)</f>
        <v>0</v>
      </c>
      <c r="BB116" s="12">
        <f t="shared" ref="BB116" si="2197">IF($H116*U116&gt;150000,ROUNDDOWN(($H116*U116-150000)*6%*45%,0),0)</f>
        <v>0</v>
      </c>
      <c r="BC116" s="12">
        <f t="shared" ref="BC116" si="2198">IF($H116*V116&gt;150000,ROUNDDOWN(($H116*V116-150000)*6%*45%,0),0)</f>
        <v>0</v>
      </c>
      <c r="BD116" s="13">
        <f t="shared" ref="BD116" si="2199">IF($H116*W116&gt;150000,ROUNDDOWN(($H116*W116-150000)*6%*45%,0),0)</f>
        <v>0</v>
      </c>
      <c r="BE116" s="14"/>
    </row>
    <row r="117" spans="1:58" x14ac:dyDescent="0.3">
      <c r="A117" s="142"/>
      <c r="B117" s="116"/>
      <c r="C117" s="116"/>
      <c r="D117" s="143"/>
      <c r="E117" s="116"/>
      <c r="F117" s="116"/>
      <c r="G117" s="144"/>
      <c r="H117" s="112"/>
      <c r="I117" s="43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5"/>
      <c r="Y117" s="145"/>
      <c r="Z117" s="116"/>
      <c r="AA117" s="112"/>
      <c r="AB117" s="65">
        <f t="shared" ref="AB117" si="2200">ROUNDDOWN(AB116*10%,-1)</f>
        <v>0</v>
      </c>
      <c r="AC117" s="66">
        <f t="shared" ref="AC117" ca="1" si="2201">IFERROR(IF(AND( OR(COUNTIF(I116:X117, "&gt;0")&gt;=$AJ$1, AA116&gt;=$AJ$4),AN116&lt;60,AA116&lt;=$AH$5),ROUNDDOWN(ROUNDDOWN(AA116,-3)*$AH$4%,-1),IF(AND(COUNTIF(I116:X117,"&gt;0")&gt;=$AJ$1,AN116&lt;60,AA116&gt;$AH$5),$AJ$5,0)),0)</f>
        <v>0</v>
      </c>
      <c r="AD117" s="67">
        <f t="shared" ref="AD117" si="2202">IF(Z116&gt;=$AJ$1,ROUNDDOWN(AD116*$AH$3%/($AH$2*2%),-1),0)</f>
        <v>0</v>
      </c>
      <c r="AE117" s="112"/>
      <c r="AF117" s="112"/>
      <c r="AG117" s="116"/>
      <c r="AH117" s="116"/>
      <c r="AI117" s="116"/>
      <c r="AJ117" s="116"/>
      <c r="AK117" s="149"/>
      <c r="AL117" s="149"/>
      <c r="AM117" s="115"/>
      <c r="AN117" s="113"/>
      <c r="AO117" s="112"/>
      <c r="AP117" s="15">
        <f t="shared" ref="AP117" si="2203">IF($H116*I117&gt;150000,ROUNDDOWN(($H116*I117-150000)*6%*45%,0),0)</f>
        <v>0</v>
      </c>
      <c r="AQ117" s="16">
        <f t="shared" ref="AQ117" si="2204">IF($H116*J117&gt;150000,ROUNDDOWN(($H116*J117-150000)*6%*45%,0),0)</f>
        <v>0</v>
      </c>
      <c r="AR117" s="16">
        <f t="shared" ref="AR117" si="2205">IF($H116*K117&gt;150000,ROUNDDOWN(($H116*K117-150000)*6%*45%,0),0)</f>
        <v>0</v>
      </c>
      <c r="AS117" s="16">
        <f t="shared" ref="AS117" si="2206">IF($H116*L117&gt;150000,ROUNDDOWN(($H116*L117-150000)*6%*45%,0),0)</f>
        <v>0</v>
      </c>
      <c r="AT117" s="16">
        <f t="shared" ref="AT117" si="2207">IF($H116*M117&gt;150000,ROUNDDOWN(($H116*M117-150000)*6%*45%,0),0)</f>
        <v>0</v>
      </c>
      <c r="AU117" s="16">
        <f t="shared" ref="AU117" si="2208">IF($H116*N117&gt;150000,ROUNDDOWN(($H116*N117-150000)*6%*45%,0),0)</f>
        <v>0</v>
      </c>
      <c r="AV117" s="16">
        <f t="shared" ref="AV117" si="2209">IF($H116*O117&gt;150000,ROUNDDOWN(($H116*O117-150000)*6%*45%,0),0)</f>
        <v>0</v>
      </c>
      <c r="AW117" s="16">
        <f t="shared" ref="AW117" si="2210">IF($H116*P117&gt;150000,ROUNDDOWN(($H116*P117-150000)*6%*45%,0),0)</f>
        <v>0</v>
      </c>
      <c r="AX117" s="16">
        <f t="shared" ref="AX117" si="2211">IF($H116*Q117&gt;150000,ROUNDDOWN(($H116*Q117-150000)*6%*45%,0),0)</f>
        <v>0</v>
      </c>
      <c r="AY117" s="16">
        <f t="shared" ref="AY117" si="2212">IF($H116*R117&gt;150000,ROUNDDOWN(($H116*R117-150000)*6%*45%,0),0)</f>
        <v>0</v>
      </c>
      <c r="AZ117" s="16">
        <f t="shared" ref="AZ117" si="2213">IF($H116*S117&gt;150000,ROUNDDOWN(($H116*S117-150000)*6%*45%,0),0)</f>
        <v>0</v>
      </c>
      <c r="BA117" s="16">
        <f t="shared" ref="BA117" si="2214">IF($H116*T117&gt;150000,ROUNDDOWN(($H116*T117-150000)*6%*45%,0),0)</f>
        <v>0</v>
      </c>
      <c r="BB117" s="16">
        <f t="shared" ref="BB117" si="2215">IF($H116*U117&gt;150000,ROUNDDOWN(($H116*U117-150000)*6%*45%,0),0)</f>
        <v>0</v>
      </c>
      <c r="BC117" s="16">
        <f t="shared" ref="BC117" si="2216">IF($H116*V117&gt;150000,ROUNDDOWN(($H116*V117-150000)*6%*45%,0),0)</f>
        <v>0</v>
      </c>
      <c r="BD117" s="16">
        <f t="shared" ref="BD117" si="2217">IF($H116*W117&gt;150000,ROUNDDOWN(($H116*W117-150000)*6%*45%,0),0)</f>
        <v>0</v>
      </c>
      <c r="BE117" s="17">
        <f t="shared" ref="BE117" si="2218">IF($H116*X117&gt;150000,ROUNDDOWN(($H116*X117-150000)*6%*45%,0),0)</f>
        <v>0</v>
      </c>
      <c r="BF117" s="28"/>
    </row>
    <row r="118" spans="1:58" x14ac:dyDescent="0.3">
      <c r="A118" s="142">
        <v>56</v>
      </c>
      <c r="B118" s="116" t="str">
        <f t="shared" ref="B118" si="2219">IF(LEN(D118)&gt;1,IF(VALUE(MID(RIGHT(D118,7),1,1))&gt;4,"외국인",IF(VALUE(RIGHT(11-MOD((MID(D118,1,1)*2+MID(D118,2,1)*3+MID(D118,3,1)*4+MID(D118,4,1)*5+MID(D118,5,1)*6+MID(D118,6,1)*7+MID(RIGHT(D118,7),1,1)*8+MID(RIGHT(D118,7),2,1)*9+MID(RIGHT(D118,7),3,1)*2+MID(RIGHT(D118,7),4,1)*3+MID(RIGHT(D118,7),5,1)*4+MID(RIGHT(D118,7),6,1)*5),11),1))=VALUE(RIGHT(D118,1)),"","오류")),"")</f>
        <v/>
      </c>
      <c r="C118" s="116"/>
      <c r="D118" s="143"/>
      <c r="E118" s="116"/>
      <c r="F118" s="116"/>
      <c r="G118" s="144"/>
      <c r="H118" s="112"/>
      <c r="I118" s="38"/>
      <c r="J118" s="39"/>
      <c r="K118" s="39"/>
      <c r="L118" s="39"/>
      <c r="M118" s="39"/>
      <c r="N118" s="39"/>
      <c r="O118" s="39"/>
      <c r="P118" s="39"/>
      <c r="Q118" s="39"/>
      <c r="R118" s="39"/>
      <c r="S118" s="40"/>
      <c r="T118" s="40"/>
      <c r="U118" s="39"/>
      <c r="V118" s="39"/>
      <c r="W118" s="41"/>
      <c r="X118" s="42"/>
      <c r="Y118" s="145">
        <f>SUM(I118:X119)</f>
        <v>0</v>
      </c>
      <c r="Z118" s="116">
        <f>COUNTIF(I118:X119,"&gt;0")</f>
        <v>0</v>
      </c>
      <c r="AA118" s="112">
        <f t="shared" ref="AA118" si="2220">H118*Y118</f>
        <v>0</v>
      </c>
      <c r="AB118" s="62">
        <f t="shared" ref="AB118" si="2221">IF(AO118&lt;1000, 0, AO118)</f>
        <v>0</v>
      </c>
      <c r="AC118" s="63">
        <f ca="1">IF(IFERROR($AN118&lt;65,FALSE), IF(B118&lt;&gt;"외국인", ROUNDDOWN(AA118*$AH$1%,-1), IF(AND(AM118&lt;&gt;"", ISNUMBER(SEARCH(LEFT(SUBSTITUTE(AM118, "-",""),2), "F2_F5_F6"))), ROUNDDOWN(AA118*$AH$1%,-1), 0)),0)</f>
        <v>0</v>
      </c>
      <c r="AD118" s="64">
        <f t="shared" ref="AD118" si="2222">IF(Z118&gt;=$AJ$1,ROUNDDOWN(AA118*$AH$2%,-1),0)</f>
        <v>0</v>
      </c>
      <c r="AE118" s="112">
        <f t="shared" ref="AE118" ca="1" si="2223">AB118+AC118+AB119+AC119+AD118+AD119</f>
        <v>0</v>
      </c>
      <c r="AF118" s="112">
        <f t="shared" ref="AF118" ca="1" si="2224">AA118-AE118</f>
        <v>0</v>
      </c>
      <c r="AG118" s="116"/>
      <c r="AH118" s="116"/>
      <c r="AI118" s="116"/>
      <c r="AJ118" s="116"/>
      <c r="AK118" s="149"/>
      <c r="AL118" s="149"/>
      <c r="AM118" s="115"/>
      <c r="AN118" s="113" t="str">
        <f t="shared" ref="AN118" ca="1" si="2225">IFERROR(DATEDIF(DATE(IF(ISNUMBER(FIND(MID( SUBSTITUTE(D118, "-",""), 7, 1), "3478")), 2000, 1900)+MID(D118,1,2), MID(D118,3,2), MID(D118,5,2)), TODAY(), "Y"),"")</f>
        <v/>
      </c>
      <c r="AO118" s="112">
        <f>ROUNDDOWN(SUM(AP118:BE119),-1)</f>
        <v>0</v>
      </c>
      <c r="AP118" s="11">
        <f t="shared" ref="AP118" si="2226">IF($H118*I118&gt;150000,ROUNDDOWN(($H118*I118-150000)*6%*45%,0),0)</f>
        <v>0</v>
      </c>
      <c r="AQ118" s="12">
        <f t="shared" ref="AQ118" si="2227">IF($H118*J118&gt;150000,ROUNDDOWN(($H118*J118-150000)*6%*45%,0),0)</f>
        <v>0</v>
      </c>
      <c r="AR118" s="12">
        <f t="shared" ref="AR118" si="2228">IF($H118*K118&gt;150000,ROUNDDOWN(($H118*K118-150000)*6%*45%,0),0)</f>
        <v>0</v>
      </c>
      <c r="AS118" s="12">
        <f t="shared" ref="AS118" si="2229">IF($H118*L118&gt;150000,ROUNDDOWN(($H118*L118-150000)*6%*45%,0),0)</f>
        <v>0</v>
      </c>
      <c r="AT118" s="12">
        <f t="shared" ref="AT118" si="2230">IF($H118*M118&gt;150000,ROUNDDOWN(($H118*M118-150000)*6%*45%,0),0)</f>
        <v>0</v>
      </c>
      <c r="AU118" s="12">
        <f t="shared" ref="AU118" si="2231">IF($H118*N118&gt;150000,ROUNDDOWN(($H118*N118-150000)*6%*45%,0),0)</f>
        <v>0</v>
      </c>
      <c r="AV118" s="12">
        <f t="shared" ref="AV118" si="2232">IF($H118*O118&gt;150000,ROUNDDOWN(($H118*O118-150000)*6%*45%,0),0)</f>
        <v>0</v>
      </c>
      <c r="AW118" s="12">
        <f t="shared" ref="AW118" si="2233">IF($H118*P118&gt;150000,ROUNDDOWN(($H118*P118-150000)*6%*45%,0),0)</f>
        <v>0</v>
      </c>
      <c r="AX118" s="12">
        <f t="shared" ref="AX118" si="2234">IF($H118*Q118&gt;150000,ROUNDDOWN(($H118*Q118-150000)*6%*45%,0),0)</f>
        <v>0</v>
      </c>
      <c r="AY118" s="12">
        <f t="shared" ref="AY118" si="2235">IF($H118*R118&gt;150000,ROUNDDOWN(($H118*R118-150000)*6%*45%,0),0)</f>
        <v>0</v>
      </c>
      <c r="AZ118" s="12">
        <f t="shared" ref="AZ118" si="2236">IF($H118*S118&gt;150000,ROUNDDOWN(($H118*S118-150000)*6%*45%,0),0)</f>
        <v>0</v>
      </c>
      <c r="BA118" s="12">
        <f t="shared" ref="BA118" si="2237">IF($H118*T118&gt;150000,ROUNDDOWN(($H118*T118-150000)*6%*45%,0),0)</f>
        <v>0</v>
      </c>
      <c r="BB118" s="12">
        <f t="shared" ref="BB118" si="2238">IF($H118*U118&gt;150000,ROUNDDOWN(($H118*U118-150000)*6%*45%,0),0)</f>
        <v>0</v>
      </c>
      <c r="BC118" s="12">
        <f t="shared" ref="BC118" si="2239">IF($H118*V118&gt;150000,ROUNDDOWN(($H118*V118-150000)*6%*45%,0),0)</f>
        <v>0</v>
      </c>
      <c r="BD118" s="13">
        <f t="shared" ref="BD118" si="2240">IF($H118*W118&gt;150000,ROUNDDOWN(($H118*W118-150000)*6%*45%,0),0)</f>
        <v>0</v>
      </c>
      <c r="BE118" s="14"/>
    </row>
    <row r="119" spans="1:58" x14ac:dyDescent="0.3">
      <c r="A119" s="142"/>
      <c r="B119" s="116"/>
      <c r="C119" s="116"/>
      <c r="D119" s="143"/>
      <c r="E119" s="116"/>
      <c r="F119" s="116"/>
      <c r="G119" s="144"/>
      <c r="H119" s="112"/>
      <c r="I119" s="43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5"/>
      <c r="Y119" s="145"/>
      <c r="Z119" s="116"/>
      <c r="AA119" s="112"/>
      <c r="AB119" s="65">
        <f t="shared" ref="AB119" si="2241">ROUNDDOWN(AB118*10%,-1)</f>
        <v>0</v>
      </c>
      <c r="AC119" s="66">
        <f t="shared" ref="AC119" ca="1" si="2242">IFERROR(IF(AND( OR(COUNTIF(I118:X119, "&gt;0")&gt;=$AJ$1, AA118&gt;=$AJ$4),AN118&lt;60,AA118&lt;=$AH$5),ROUNDDOWN(ROUNDDOWN(AA118,-3)*$AH$4%,-1),IF(AND(COUNTIF(I118:X119,"&gt;0")&gt;=$AJ$1,AN118&lt;60,AA118&gt;$AH$5),$AJ$5,0)),0)</f>
        <v>0</v>
      </c>
      <c r="AD119" s="67">
        <f t="shared" ref="AD119" si="2243">IF(Z118&gt;=$AJ$1,ROUNDDOWN(AD118*$AH$3%/($AH$2*2%),-1),0)</f>
        <v>0</v>
      </c>
      <c r="AE119" s="112"/>
      <c r="AF119" s="112"/>
      <c r="AG119" s="116"/>
      <c r="AH119" s="116"/>
      <c r="AI119" s="116"/>
      <c r="AJ119" s="116"/>
      <c r="AK119" s="149"/>
      <c r="AL119" s="149"/>
      <c r="AM119" s="115"/>
      <c r="AN119" s="113"/>
      <c r="AO119" s="112"/>
      <c r="AP119" s="15">
        <f t="shared" ref="AP119" si="2244">IF($H118*I119&gt;150000,ROUNDDOWN(($H118*I119-150000)*6%*45%,0),0)</f>
        <v>0</v>
      </c>
      <c r="AQ119" s="16">
        <f t="shared" ref="AQ119" si="2245">IF($H118*J119&gt;150000,ROUNDDOWN(($H118*J119-150000)*6%*45%,0),0)</f>
        <v>0</v>
      </c>
      <c r="AR119" s="16">
        <f t="shared" ref="AR119" si="2246">IF($H118*K119&gt;150000,ROUNDDOWN(($H118*K119-150000)*6%*45%,0),0)</f>
        <v>0</v>
      </c>
      <c r="AS119" s="16">
        <f t="shared" ref="AS119" si="2247">IF($H118*L119&gt;150000,ROUNDDOWN(($H118*L119-150000)*6%*45%,0),0)</f>
        <v>0</v>
      </c>
      <c r="AT119" s="16">
        <f t="shared" ref="AT119" si="2248">IF($H118*M119&gt;150000,ROUNDDOWN(($H118*M119-150000)*6%*45%,0),0)</f>
        <v>0</v>
      </c>
      <c r="AU119" s="16">
        <f t="shared" ref="AU119" si="2249">IF($H118*N119&gt;150000,ROUNDDOWN(($H118*N119-150000)*6%*45%,0),0)</f>
        <v>0</v>
      </c>
      <c r="AV119" s="16">
        <f t="shared" ref="AV119" si="2250">IF($H118*O119&gt;150000,ROUNDDOWN(($H118*O119-150000)*6%*45%,0),0)</f>
        <v>0</v>
      </c>
      <c r="AW119" s="16">
        <f t="shared" ref="AW119" si="2251">IF($H118*P119&gt;150000,ROUNDDOWN(($H118*P119-150000)*6%*45%,0),0)</f>
        <v>0</v>
      </c>
      <c r="AX119" s="16">
        <f t="shared" ref="AX119" si="2252">IF($H118*Q119&gt;150000,ROUNDDOWN(($H118*Q119-150000)*6%*45%,0),0)</f>
        <v>0</v>
      </c>
      <c r="AY119" s="16">
        <f t="shared" ref="AY119" si="2253">IF($H118*R119&gt;150000,ROUNDDOWN(($H118*R119-150000)*6%*45%,0),0)</f>
        <v>0</v>
      </c>
      <c r="AZ119" s="16">
        <f t="shared" ref="AZ119" si="2254">IF($H118*S119&gt;150000,ROUNDDOWN(($H118*S119-150000)*6%*45%,0),0)</f>
        <v>0</v>
      </c>
      <c r="BA119" s="16">
        <f t="shared" ref="BA119" si="2255">IF($H118*T119&gt;150000,ROUNDDOWN(($H118*T119-150000)*6%*45%,0),0)</f>
        <v>0</v>
      </c>
      <c r="BB119" s="16">
        <f t="shared" ref="BB119" si="2256">IF($H118*U119&gt;150000,ROUNDDOWN(($H118*U119-150000)*6%*45%,0),0)</f>
        <v>0</v>
      </c>
      <c r="BC119" s="16">
        <f t="shared" ref="BC119" si="2257">IF($H118*V119&gt;150000,ROUNDDOWN(($H118*V119-150000)*6%*45%,0),0)</f>
        <v>0</v>
      </c>
      <c r="BD119" s="16">
        <f t="shared" ref="BD119" si="2258">IF($H118*W119&gt;150000,ROUNDDOWN(($H118*W119-150000)*6%*45%,0),0)</f>
        <v>0</v>
      </c>
      <c r="BE119" s="17">
        <f t="shared" ref="BE119" si="2259">IF($H118*X119&gt;150000,ROUNDDOWN(($H118*X119-150000)*6%*45%,0),0)</f>
        <v>0</v>
      </c>
      <c r="BF119" s="28"/>
    </row>
    <row r="120" spans="1:58" x14ac:dyDescent="0.3">
      <c r="A120" s="142">
        <v>57</v>
      </c>
      <c r="B120" s="116" t="str">
        <f t="shared" ref="B120" si="2260">IF(LEN(D120)&gt;1,IF(VALUE(MID(RIGHT(D120,7),1,1))&gt;4,"외국인",IF(VALUE(RIGHT(11-MOD((MID(D120,1,1)*2+MID(D120,2,1)*3+MID(D120,3,1)*4+MID(D120,4,1)*5+MID(D120,5,1)*6+MID(D120,6,1)*7+MID(RIGHT(D120,7),1,1)*8+MID(RIGHT(D120,7),2,1)*9+MID(RIGHT(D120,7),3,1)*2+MID(RIGHT(D120,7),4,1)*3+MID(RIGHT(D120,7),5,1)*4+MID(RIGHT(D120,7),6,1)*5),11),1))=VALUE(RIGHT(D120,1)),"","오류")),"")</f>
        <v/>
      </c>
      <c r="C120" s="116"/>
      <c r="D120" s="143"/>
      <c r="E120" s="116"/>
      <c r="F120" s="116"/>
      <c r="G120" s="144"/>
      <c r="H120" s="112"/>
      <c r="I120" s="38"/>
      <c r="J120" s="39"/>
      <c r="K120" s="39"/>
      <c r="L120" s="39"/>
      <c r="M120" s="39"/>
      <c r="N120" s="39"/>
      <c r="O120" s="39"/>
      <c r="P120" s="39"/>
      <c r="Q120" s="39"/>
      <c r="R120" s="39"/>
      <c r="S120" s="40"/>
      <c r="T120" s="40"/>
      <c r="U120" s="39"/>
      <c r="V120" s="39"/>
      <c r="W120" s="41"/>
      <c r="X120" s="42"/>
      <c r="Y120" s="145">
        <f>SUM(I120:X121)</f>
        <v>0</v>
      </c>
      <c r="Z120" s="116">
        <f>COUNTIF(I120:X121,"&gt;0")</f>
        <v>0</v>
      </c>
      <c r="AA120" s="112">
        <f t="shared" ref="AA120" si="2261">H120*Y120</f>
        <v>0</v>
      </c>
      <c r="AB120" s="62">
        <f t="shared" ref="AB120" si="2262">IF(AO120&lt;1000, 0, AO120)</f>
        <v>0</v>
      </c>
      <c r="AC120" s="63">
        <f ca="1">IF(IFERROR($AN120&lt;65,FALSE), IF(B120&lt;&gt;"외국인", ROUNDDOWN(AA120*$AH$1%,-1), IF(AND(AM120&lt;&gt;"", ISNUMBER(SEARCH(LEFT(SUBSTITUTE(AM120, "-",""),2), "F2_F5_F6"))), ROUNDDOWN(AA120*$AH$1%,-1), 0)),0)</f>
        <v>0</v>
      </c>
      <c r="AD120" s="64">
        <f t="shared" ref="AD120" si="2263">IF(Z120&gt;=$AJ$1,ROUNDDOWN(AA120*$AH$2%,-1),0)</f>
        <v>0</v>
      </c>
      <c r="AE120" s="112">
        <f t="shared" ref="AE120" ca="1" si="2264">AB120+AC120+AB121+AC121+AD120+AD121</f>
        <v>0</v>
      </c>
      <c r="AF120" s="112">
        <f t="shared" ref="AF120" ca="1" si="2265">AA120-AE120</f>
        <v>0</v>
      </c>
      <c r="AG120" s="116"/>
      <c r="AH120" s="116"/>
      <c r="AI120" s="116"/>
      <c r="AJ120" s="116"/>
      <c r="AK120" s="149"/>
      <c r="AL120" s="149"/>
      <c r="AM120" s="115"/>
      <c r="AN120" s="113" t="str">
        <f t="shared" ref="AN120" ca="1" si="2266">IFERROR(DATEDIF(DATE(IF(ISNUMBER(FIND(MID( SUBSTITUTE(D120, "-",""), 7, 1), "3478")), 2000, 1900)+MID(D120,1,2), MID(D120,3,2), MID(D120,5,2)), TODAY(), "Y"),"")</f>
        <v/>
      </c>
      <c r="AO120" s="112">
        <f>ROUNDDOWN(SUM(AP120:BE121),-1)</f>
        <v>0</v>
      </c>
      <c r="AP120" s="11">
        <f t="shared" ref="AP120" si="2267">IF($H120*I120&gt;150000,ROUNDDOWN(($H120*I120-150000)*6%*45%,0),0)</f>
        <v>0</v>
      </c>
      <c r="AQ120" s="12">
        <f t="shared" ref="AQ120" si="2268">IF($H120*J120&gt;150000,ROUNDDOWN(($H120*J120-150000)*6%*45%,0),0)</f>
        <v>0</v>
      </c>
      <c r="AR120" s="12">
        <f t="shared" ref="AR120" si="2269">IF($H120*K120&gt;150000,ROUNDDOWN(($H120*K120-150000)*6%*45%,0),0)</f>
        <v>0</v>
      </c>
      <c r="AS120" s="12">
        <f t="shared" ref="AS120" si="2270">IF($H120*L120&gt;150000,ROUNDDOWN(($H120*L120-150000)*6%*45%,0),0)</f>
        <v>0</v>
      </c>
      <c r="AT120" s="12">
        <f t="shared" ref="AT120" si="2271">IF($H120*M120&gt;150000,ROUNDDOWN(($H120*M120-150000)*6%*45%,0),0)</f>
        <v>0</v>
      </c>
      <c r="AU120" s="12">
        <f t="shared" ref="AU120" si="2272">IF($H120*N120&gt;150000,ROUNDDOWN(($H120*N120-150000)*6%*45%,0),0)</f>
        <v>0</v>
      </c>
      <c r="AV120" s="12">
        <f t="shared" ref="AV120" si="2273">IF($H120*O120&gt;150000,ROUNDDOWN(($H120*O120-150000)*6%*45%,0),0)</f>
        <v>0</v>
      </c>
      <c r="AW120" s="12">
        <f t="shared" ref="AW120" si="2274">IF($H120*P120&gt;150000,ROUNDDOWN(($H120*P120-150000)*6%*45%,0),0)</f>
        <v>0</v>
      </c>
      <c r="AX120" s="12">
        <f t="shared" ref="AX120" si="2275">IF($H120*Q120&gt;150000,ROUNDDOWN(($H120*Q120-150000)*6%*45%,0),0)</f>
        <v>0</v>
      </c>
      <c r="AY120" s="12">
        <f t="shared" ref="AY120" si="2276">IF($H120*R120&gt;150000,ROUNDDOWN(($H120*R120-150000)*6%*45%,0),0)</f>
        <v>0</v>
      </c>
      <c r="AZ120" s="12">
        <f t="shared" ref="AZ120" si="2277">IF($H120*S120&gt;150000,ROUNDDOWN(($H120*S120-150000)*6%*45%,0),0)</f>
        <v>0</v>
      </c>
      <c r="BA120" s="12">
        <f t="shared" ref="BA120" si="2278">IF($H120*T120&gt;150000,ROUNDDOWN(($H120*T120-150000)*6%*45%,0),0)</f>
        <v>0</v>
      </c>
      <c r="BB120" s="12">
        <f t="shared" ref="BB120" si="2279">IF($H120*U120&gt;150000,ROUNDDOWN(($H120*U120-150000)*6%*45%,0),0)</f>
        <v>0</v>
      </c>
      <c r="BC120" s="12">
        <f t="shared" ref="BC120" si="2280">IF($H120*V120&gt;150000,ROUNDDOWN(($H120*V120-150000)*6%*45%,0),0)</f>
        <v>0</v>
      </c>
      <c r="BD120" s="13">
        <f t="shared" ref="BD120" si="2281">IF($H120*W120&gt;150000,ROUNDDOWN(($H120*W120-150000)*6%*45%,0),0)</f>
        <v>0</v>
      </c>
      <c r="BE120" s="14"/>
    </row>
    <row r="121" spans="1:58" x14ac:dyDescent="0.3">
      <c r="A121" s="142"/>
      <c r="B121" s="116"/>
      <c r="C121" s="116"/>
      <c r="D121" s="143"/>
      <c r="E121" s="116"/>
      <c r="F121" s="116"/>
      <c r="G121" s="144"/>
      <c r="H121" s="112"/>
      <c r="I121" s="43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5"/>
      <c r="Y121" s="145"/>
      <c r="Z121" s="116"/>
      <c r="AA121" s="112"/>
      <c r="AB121" s="65">
        <f t="shared" ref="AB121" si="2282">ROUNDDOWN(AB120*10%,-1)</f>
        <v>0</v>
      </c>
      <c r="AC121" s="66">
        <f t="shared" ref="AC121" ca="1" si="2283">IFERROR(IF(AND( OR(COUNTIF(I120:X121, "&gt;0")&gt;=$AJ$1, AA120&gt;=$AJ$4),AN120&lt;60,AA120&lt;=$AH$5),ROUNDDOWN(ROUNDDOWN(AA120,-3)*$AH$4%,-1),IF(AND(COUNTIF(I120:X121,"&gt;0")&gt;=$AJ$1,AN120&lt;60,AA120&gt;$AH$5),$AJ$5,0)),0)</f>
        <v>0</v>
      </c>
      <c r="AD121" s="67">
        <f t="shared" ref="AD121" si="2284">IF(Z120&gt;=$AJ$1,ROUNDDOWN(AD120*$AH$3%/($AH$2*2%),-1),0)</f>
        <v>0</v>
      </c>
      <c r="AE121" s="112"/>
      <c r="AF121" s="112"/>
      <c r="AG121" s="116"/>
      <c r="AH121" s="116"/>
      <c r="AI121" s="116"/>
      <c r="AJ121" s="116"/>
      <c r="AK121" s="149"/>
      <c r="AL121" s="149"/>
      <c r="AM121" s="115"/>
      <c r="AN121" s="113"/>
      <c r="AO121" s="112"/>
      <c r="AP121" s="15">
        <f t="shared" ref="AP121" si="2285">IF($H120*I121&gt;150000,ROUNDDOWN(($H120*I121-150000)*6%*45%,0),0)</f>
        <v>0</v>
      </c>
      <c r="AQ121" s="16">
        <f t="shared" ref="AQ121" si="2286">IF($H120*J121&gt;150000,ROUNDDOWN(($H120*J121-150000)*6%*45%,0),0)</f>
        <v>0</v>
      </c>
      <c r="AR121" s="16">
        <f t="shared" ref="AR121" si="2287">IF($H120*K121&gt;150000,ROUNDDOWN(($H120*K121-150000)*6%*45%,0),0)</f>
        <v>0</v>
      </c>
      <c r="AS121" s="16">
        <f t="shared" ref="AS121" si="2288">IF($H120*L121&gt;150000,ROUNDDOWN(($H120*L121-150000)*6%*45%,0),0)</f>
        <v>0</v>
      </c>
      <c r="AT121" s="16">
        <f t="shared" ref="AT121" si="2289">IF($H120*M121&gt;150000,ROUNDDOWN(($H120*M121-150000)*6%*45%,0),0)</f>
        <v>0</v>
      </c>
      <c r="AU121" s="16">
        <f t="shared" ref="AU121" si="2290">IF($H120*N121&gt;150000,ROUNDDOWN(($H120*N121-150000)*6%*45%,0),0)</f>
        <v>0</v>
      </c>
      <c r="AV121" s="16">
        <f t="shared" ref="AV121" si="2291">IF($H120*O121&gt;150000,ROUNDDOWN(($H120*O121-150000)*6%*45%,0),0)</f>
        <v>0</v>
      </c>
      <c r="AW121" s="16">
        <f t="shared" ref="AW121" si="2292">IF($H120*P121&gt;150000,ROUNDDOWN(($H120*P121-150000)*6%*45%,0),0)</f>
        <v>0</v>
      </c>
      <c r="AX121" s="16">
        <f t="shared" ref="AX121" si="2293">IF($H120*Q121&gt;150000,ROUNDDOWN(($H120*Q121-150000)*6%*45%,0),0)</f>
        <v>0</v>
      </c>
      <c r="AY121" s="16">
        <f t="shared" ref="AY121" si="2294">IF($H120*R121&gt;150000,ROUNDDOWN(($H120*R121-150000)*6%*45%,0),0)</f>
        <v>0</v>
      </c>
      <c r="AZ121" s="16">
        <f t="shared" ref="AZ121" si="2295">IF($H120*S121&gt;150000,ROUNDDOWN(($H120*S121-150000)*6%*45%,0),0)</f>
        <v>0</v>
      </c>
      <c r="BA121" s="16">
        <f t="shared" ref="BA121" si="2296">IF($H120*T121&gt;150000,ROUNDDOWN(($H120*T121-150000)*6%*45%,0),0)</f>
        <v>0</v>
      </c>
      <c r="BB121" s="16">
        <f t="shared" ref="BB121" si="2297">IF($H120*U121&gt;150000,ROUNDDOWN(($H120*U121-150000)*6%*45%,0),0)</f>
        <v>0</v>
      </c>
      <c r="BC121" s="16">
        <f t="shared" ref="BC121" si="2298">IF($H120*V121&gt;150000,ROUNDDOWN(($H120*V121-150000)*6%*45%,0),0)</f>
        <v>0</v>
      </c>
      <c r="BD121" s="16">
        <f t="shared" ref="BD121" si="2299">IF($H120*W121&gt;150000,ROUNDDOWN(($H120*W121-150000)*6%*45%,0),0)</f>
        <v>0</v>
      </c>
      <c r="BE121" s="17">
        <f t="shared" ref="BE121" si="2300">IF($H120*X121&gt;150000,ROUNDDOWN(($H120*X121-150000)*6%*45%,0),0)</f>
        <v>0</v>
      </c>
      <c r="BF121" s="28"/>
    </row>
    <row r="122" spans="1:58" x14ac:dyDescent="0.3">
      <c r="A122" s="142">
        <v>58</v>
      </c>
      <c r="B122" s="116" t="str">
        <f t="shared" ref="B122" si="2301">IF(LEN(D122)&gt;1,IF(VALUE(MID(RIGHT(D122,7),1,1))&gt;4,"외국인",IF(VALUE(RIGHT(11-MOD((MID(D122,1,1)*2+MID(D122,2,1)*3+MID(D122,3,1)*4+MID(D122,4,1)*5+MID(D122,5,1)*6+MID(D122,6,1)*7+MID(RIGHT(D122,7),1,1)*8+MID(RIGHT(D122,7),2,1)*9+MID(RIGHT(D122,7),3,1)*2+MID(RIGHT(D122,7),4,1)*3+MID(RIGHT(D122,7),5,1)*4+MID(RIGHT(D122,7),6,1)*5),11),1))=VALUE(RIGHT(D122,1)),"","오류")),"")</f>
        <v/>
      </c>
      <c r="C122" s="116"/>
      <c r="D122" s="143"/>
      <c r="E122" s="116"/>
      <c r="F122" s="116"/>
      <c r="G122" s="144"/>
      <c r="H122" s="112"/>
      <c r="I122" s="38"/>
      <c r="J122" s="39"/>
      <c r="K122" s="39"/>
      <c r="L122" s="39"/>
      <c r="M122" s="39"/>
      <c r="N122" s="39"/>
      <c r="O122" s="39"/>
      <c r="P122" s="39"/>
      <c r="Q122" s="39"/>
      <c r="R122" s="39"/>
      <c r="S122" s="40"/>
      <c r="T122" s="40"/>
      <c r="U122" s="39"/>
      <c r="V122" s="39"/>
      <c r="W122" s="41"/>
      <c r="X122" s="42"/>
      <c r="Y122" s="145">
        <f>SUM(I122:X123)</f>
        <v>0</v>
      </c>
      <c r="Z122" s="116">
        <f>COUNTIF(I122:X123,"&gt;0")</f>
        <v>0</v>
      </c>
      <c r="AA122" s="112">
        <f t="shared" ref="AA122" si="2302">H122*Y122</f>
        <v>0</v>
      </c>
      <c r="AB122" s="62">
        <f t="shared" ref="AB122" si="2303">IF(AO122&lt;1000, 0, AO122)</f>
        <v>0</v>
      </c>
      <c r="AC122" s="63">
        <f ca="1">IF(IFERROR($AN122&lt;65,FALSE), IF(B122&lt;&gt;"외국인", ROUNDDOWN(AA122*$AH$1%,-1), IF(AND(AM122&lt;&gt;"", ISNUMBER(SEARCH(LEFT(SUBSTITUTE(AM122, "-",""),2), "F2_F5_F6"))), ROUNDDOWN(AA122*$AH$1%,-1), 0)),0)</f>
        <v>0</v>
      </c>
      <c r="AD122" s="64">
        <f t="shared" ref="AD122" si="2304">IF(Z122&gt;=$AJ$1,ROUNDDOWN(AA122*$AH$2%,-1),0)</f>
        <v>0</v>
      </c>
      <c r="AE122" s="112">
        <f t="shared" ref="AE122" ca="1" si="2305">AB122+AC122+AB123+AC123+AD122+AD123</f>
        <v>0</v>
      </c>
      <c r="AF122" s="112">
        <f t="shared" ref="AF122" ca="1" si="2306">AA122-AE122</f>
        <v>0</v>
      </c>
      <c r="AG122" s="116"/>
      <c r="AH122" s="116"/>
      <c r="AI122" s="116"/>
      <c r="AJ122" s="116"/>
      <c r="AK122" s="149"/>
      <c r="AL122" s="149"/>
      <c r="AM122" s="115"/>
      <c r="AN122" s="113" t="str">
        <f t="shared" ref="AN122" ca="1" si="2307">IFERROR(DATEDIF(DATE(IF(ISNUMBER(FIND(MID( SUBSTITUTE(D122, "-",""), 7, 1), "3478")), 2000, 1900)+MID(D122,1,2), MID(D122,3,2), MID(D122,5,2)), TODAY(), "Y"),"")</f>
        <v/>
      </c>
      <c r="AO122" s="112">
        <f>ROUNDDOWN(SUM(AP122:BE123),-1)</f>
        <v>0</v>
      </c>
      <c r="AP122" s="11">
        <f t="shared" ref="AP122" si="2308">IF($H122*I122&gt;150000,ROUNDDOWN(($H122*I122-150000)*6%*45%,0),0)</f>
        <v>0</v>
      </c>
      <c r="AQ122" s="12">
        <f t="shared" ref="AQ122" si="2309">IF($H122*J122&gt;150000,ROUNDDOWN(($H122*J122-150000)*6%*45%,0),0)</f>
        <v>0</v>
      </c>
      <c r="AR122" s="12">
        <f t="shared" ref="AR122" si="2310">IF($H122*K122&gt;150000,ROUNDDOWN(($H122*K122-150000)*6%*45%,0),0)</f>
        <v>0</v>
      </c>
      <c r="AS122" s="12">
        <f t="shared" ref="AS122" si="2311">IF($H122*L122&gt;150000,ROUNDDOWN(($H122*L122-150000)*6%*45%,0),0)</f>
        <v>0</v>
      </c>
      <c r="AT122" s="12">
        <f t="shared" ref="AT122" si="2312">IF($H122*M122&gt;150000,ROUNDDOWN(($H122*M122-150000)*6%*45%,0),0)</f>
        <v>0</v>
      </c>
      <c r="AU122" s="12">
        <f t="shared" ref="AU122" si="2313">IF($H122*N122&gt;150000,ROUNDDOWN(($H122*N122-150000)*6%*45%,0),0)</f>
        <v>0</v>
      </c>
      <c r="AV122" s="12">
        <f t="shared" ref="AV122" si="2314">IF($H122*O122&gt;150000,ROUNDDOWN(($H122*O122-150000)*6%*45%,0),0)</f>
        <v>0</v>
      </c>
      <c r="AW122" s="12">
        <f t="shared" ref="AW122" si="2315">IF($H122*P122&gt;150000,ROUNDDOWN(($H122*P122-150000)*6%*45%,0),0)</f>
        <v>0</v>
      </c>
      <c r="AX122" s="12">
        <f t="shared" ref="AX122" si="2316">IF($H122*Q122&gt;150000,ROUNDDOWN(($H122*Q122-150000)*6%*45%,0),0)</f>
        <v>0</v>
      </c>
      <c r="AY122" s="12">
        <f t="shared" ref="AY122" si="2317">IF($H122*R122&gt;150000,ROUNDDOWN(($H122*R122-150000)*6%*45%,0),0)</f>
        <v>0</v>
      </c>
      <c r="AZ122" s="12">
        <f t="shared" ref="AZ122" si="2318">IF($H122*S122&gt;150000,ROUNDDOWN(($H122*S122-150000)*6%*45%,0),0)</f>
        <v>0</v>
      </c>
      <c r="BA122" s="12">
        <f t="shared" ref="BA122" si="2319">IF($H122*T122&gt;150000,ROUNDDOWN(($H122*T122-150000)*6%*45%,0),0)</f>
        <v>0</v>
      </c>
      <c r="BB122" s="12">
        <f t="shared" ref="BB122" si="2320">IF($H122*U122&gt;150000,ROUNDDOWN(($H122*U122-150000)*6%*45%,0),0)</f>
        <v>0</v>
      </c>
      <c r="BC122" s="12">
        <f t="shared" ref="BC122" si="2321">IF($H122*V122&gt;150000,ROUNDDOWN(($H122*V122-150000)*6%*45%,0),0)</f>
        <v>0</v>
      </c>
      <c r="BD122" s="13">
        <f t="shared" ref="BD122" si="2322">IF($H122*W122&gt;150000,ROUNDDOWN(($H122*W122-150000)*6%*45%,0),0)</f>
        <v>0</v>
      </c>
      <c r="BE122" s="14"/>
    </row>
    <row r="123" spans="1:58" x14ac:dyDescent="0.3">
      <c r="A123" s="142"/>
      <c r="B123" s="116"/>
      <c r="C123" s="116"/>
      <c r="D123" s="143"/>
      <c r="E123" s="116"/>
      <c r="F123" s="116"/>
      <c r="G123" s="144"/>
      <c r="H123" s="112"/>
      <c r="I123" s="43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5"/>
      <c r="Y123" s="145"/>
      <c r="Z123" s="116"/>
      <c r="AA123" s="112"/>
      <c r="AB123" s="65">
        <f t="shared" ref="AB123" si="2323">ROUNDDOWN(AB122*10%,-1)</f>
        <v>0</v>
      </c>
      <c r="AC123" s="66">
        <f t="shared" ref="AC123" ca="1" si="2324">IFERROR(IF(AND( OR(COUNTIF(I122:X123, "&gt;0")&gt;=$AJ$1, AA122&gt;=$AJ$4),AN122&lt;60,AA122&lt;=$AH$5),ROUNDDOWN(ROUNDDOWN(AA122,-3)*$AH$4%,-1),IF(AND(COUNTIF(I122:X123,"&gt;0")&gt;=$AJ$1,AN122&lt;60,AA122&gt;$AH$5),$AJ$5,0)),0)</f>
        <v>0</v>
      </c>
      <c r="AD123" s="67">
        <f t="shared" ref="AD123" si="2325">IF(Z122&gt;=$AJ$1,ROUNDDOWN(AD122*$AH$3%/($AH$2*2%),-1),0)</f>
        <v>0</v>
      </c>
      <c r="AE123" s="112"/>
      <c r="AF123" s="112"/>
      <c r="AG123" s="116"/>
      <c r="AH123" s="116"/>
      <c r="AI123" s="116"/>
      <c r="AJ123" s="116"/>
      <c r="AK123" s="149"/>
      <c r="AL123" s="149"/>
      <c r="AM123" s="115"/>
      <c r="AN123" s="113"/>
      <c r="AO123" s="112"/>
      <c r="AP123" s="15">
        <f t="shared" ref="AP123" si="2326">IF($H122*I123&gt;150000,ROUNDDOWN(($H122*I123-150000)*6%*45%,0),0)</f>
        <v>0</v>
      </c>
      <c r="AQ123" s="16">
        <f t="shared" ref="AQ123" si="2327">IF($H122*J123&gt;150000,ROUNDDOWN(($H122*J123-150000)*6%*45%,0),0)</f>
        <v>0</v>
      </c>
      <c r="AR123" s="16">
        <f t="shared" ref="AR123" si="2328">IF($H122*K123&gt;150000,ROUNDDOWN(($H122*K123-150000)*6%*45%,0),0)</f>
        <v>0</v>
      </c>
      <c r="AS123" s="16">
        <f t="shared" ref="AS123" si="2329">IF($H122*L123&gt;150000,ROUNDDOWN(($H122*L123-150000)*6%*45%,0),0)</f>
        <v>0</v>
      </c>
      <c r="AT123" s="16">
        <f t="shared" ref="AT123" si="2330">IF($H122*M123&gt;150000,ROUNDDOWN(($H122*M123-150000)*6%*45%,0),0)</f>
        <v>0</v>
      </c>
      <c r="AU123" s="16">
        <f t="shared" ref="AU123" si="2331">IF($H122*N123&gt;150000,ROUNDDOWN(($H122*N123-150000)*6%*45%,0),0)</f>
        <v>0</v>
      </c>
      <c r="AV123" s="16">
        <f t="shared" ref="AV123" si="2332">IF($H122*O123&gt;150000,ROUNDDOWN(($H122*O123-150000)*6%*45%,0),0)</f>
        <v>0</v>
      </c>
      <c r="AW123" s="16">
        <f t="shared" ref="AW123" si="2333">IF($H122*P123&gt;150000,ROUNDDOWN(($H122*P123-150000)*6%*45%,0),0)</f>
        <v>0</v>
      </c>
      <c r="AX123" s="16">
        <f t="shared" ref="AX123" si="2334">IF($H122*Q123&gt;150000,ROUNDDOWN(($H122*Q123-150000)*6%*45%,0),0)</f>
        <v>0</v>
      </c>
      <c r="AY123" s="16">
        <f t="shared" ref="AY123" si="2335">IF($H122*R123&gt;150000,ROUNDDOWN(($H122*R123-150000)*6%*45%,0),0)</f>
        <v>0</v>
      </c>
      <c r="AZ123" s="16">
        <f t="shared" ref="AZ123" si="2336">IF($H122*S123&gt;150000,ROUNDDOWN(($H122*S123-150000)*6%*45%,0),0)</f>
        <v>0</v>
      </c>
      <c r="BA123" s="16">
        <f t="shared" ref="BA123" si="2337">IF($H122*T123&gt;150000,ROUNDDOWN(($H122*T123-150000)*6%*45%,0),0)</f>
        <v>0</v>
      </c>
      <c r="BB123" s="16">
        <f t="shared" ref="BB123" si="2338">IF($H122*U123&gt;150000,ROUNDDOWN(($H122*U123-150000)*6%*45%,0),0)</f>
        <v>0</v>
      </c>
      <c r="BC123" s="16">
        <f t="shared" ref="BC123" si="2339">IF($H122*V123&gt;150000,ROUNDDOWN(($H122*V123-150000)*6%*45%,0),0)</f>
        <v>0</v>
      </c>
      <c r="BD123" s="16">
        <f t="shared" ref="BD123" si="2340">IF($H122*W123&gt;150000,ROUNDDOWN(($H122*W123-150000)*6%*45%,0),0)</f>
        <v>0</v>
      </c>
      <c r="BE123" s="17">
        <f t="shared" ref="BE123" si="2341">IF($H122*X123&gt;150000,ROUNDDOWN(($H122*X123-150000)*6%*45%,0),0)</f>
        <v>0</v>
      </c>
      <c r="BF123" s="28"/>
    </row>
    <row r="124" spans="1:58" x14ac:dyDescent="0.3">
      <c r="A124" s="142">
        <v>59</v>
      </c>
      <c r="B124" s="116" t="str">
        <f t="shared" ref="B124" si="2342">IF(LEN(D124)&gt;1,IF(VALUE(MID(RIGHT(D124,7),1,1))&gt;4,"외국인",IF(VALUE(RIGHT(11-MOD((MID(D124,1,1)*2+MID(D124,2,1)*3+MID(D124,3,1)*4+MID(D124,4,1)*5+MID(D124,5,1)*6+MID(D124,6,1)*7+MID(RIGHT(D124,7),1,1)*8+MID(RIGHT(D124,7),2,1)*9+MID(RIGHT(D124,7),3,1)*2+MID(RIGHT(D124,7),4,1)*3+MID(RIGHT(D124,7),5,1)*4+MID(RIGHT(D124,7),6,1)*5),11),1))=VALUE(RIGHT(D124,1)),"","오류")),"")</f>
        <v/>
      </c>
      <c r="C124" s="116"/>
      <c r="D124" s="143"/>
      <c r="E124" s="116"/>
      <c r="F124" s="116"/>
      <c r="G124" s="144"/>
      <c r="H124" s="112"/>
      <c r="I124" s="38"/>
      <c r="J124" s="39"/>
      <c r="K124" s="39"/>
      <c r="L124" s="39"/>
      <c r="M124" s="39"/>
      <c r="N124" s="39"/>
      <c r="O124" s="39"/>
      <c r="P124" s="39"/>
      <c r="Q124" s="39"/>
      <c r="R124" s="39"/>
      <c r="S124" s="40"/>
      <c r="T124" s="40"/>
      <c r="U124" s="39"/>
      <c r="V124" s="39"/>
      <c r="W124" s="41"/>
      <c r="X124" s="42"/>
      <c r="Y124" s="145">
        <f>SUM(I124:X125)</f>
        <v>0</v>
      </c>
      <c r="Z124" s="116">
        <f>COUNTIF(I124:X125,"&gt;0")</f>
        <v>0</v>
      </c>
      <c r="AA124" s="112">
        <f t="shared" ref="AA124" si="2343">H124*Y124</f>
        <v>0</v>
      </c>
      <c r="AB124" s="62">
        <f t="shared" ref="AB124" si="2344">IF(AO124&lt;1000, 0, AO124)</f>
        <v>0</v>
      </c>
      <c r="AC124" s="63">
        <f ca="1">IF(IFERROR($AN124&lt;65,FALSE), IF(B124&lt;&gt;"외국인", ROUNDDOWN(AA124*$AH$1%,-1), IF(AND(AM124&lt;&gt;"", ISNUMBER(SEARCH(LEFT(SUBSTITUTE(AM124, "-",""),2), "F2_F5_F6"))), ROUNDDOWN(AA124*$AH$1%,-1), 0)),0)</f>
        <v>0</v>
      </c>
      <c r="AD124" s="64">
        <f t="shared" ref="AD124" si="2345">IF(Z124&gt;=$AJ$1,ROUNDDOWN(AA124*$AH$2%,-1),0)</f>
        <v>0</v>
      </c>
      <c r="AE124" s="112">
        <f t="shared" ref="AE124" ca="1" si="2346">AB124+AC124+AB125+AC125+AD124+AD125</f>
        <v>0</v>
      </c>
      <c r="AF124" s="112">
        <f t="shared" ref="AF124" ca="1" si="2347">AA124-AE124</f>
        <v>0</v>
      </c>
      <c r="AG124" s="116"/>
      <c r="AH124" s="116"/>
      <c r="AI124" s="116"/>
      <c r="AJ124" s="116"/>
      <c r="AK124" s="149"/>
      <c r="AL124" s="149"/>
      <c r="AM124" s="115"/>
      <c r="AN124" s="113" t="str">
        <f t="shared" ref="AN124" ca="1" si="2348">IFERROR(DATEDIF(DATE(IF(ISNUMBER(FIND(MID( SUBSTITUTE(D124, "-",""), 7, 1), "3478")), 2000, 1900)+MID(D124,1,2), MID(D124,3,2), MID(D124,5,2)), TODAY(), "Y"),"")</f>
        <v/>
      </c>
      <c r="AO124" s="112">
        <f>ROUNDDOWN(SUM(AP124:BE125),-1)</f>
        <v>0</v>
      </c>
      <c r="AP124" s="11">
        <f t="shared" ref="AP124" si="2349">IF($H124*I124&gt;150000,ROUNDDOWN(($H124*I124-150000)*6%*45%,0),0)</f>
        <v>0</v>
      </c>
      <c r="AQ124" s="12">
        <f t="shared" ref="AQ124" si="2350">IF($H124*J124&gt;150000,ROUNDDOWN(($H124*J124-150000)*6%*45%,0),0)</f>
        <v>0</v>
      </c>
      <c r="AR124" s="12">
        <f t="shared" ref="AR124" si="2351">IF($H124*K124&gt;150000,ROUNDDOWN(($H124*K124-150000)*6%*45%,0),0)</f>
        <v>0</v>
      </c>
      <c r="AS124" s="12">
        <f t="shared" ref="AS124" si="2352">IF($H124*L124&gt;150000,ROUNDDOWN(($H124*L124-150000)*6%*45%,0),0)</f>
        <v>0</v>
      </c>
      <c r="AT124" s="12">
        <f t="shared" ref="AT124" si="2353">IF($H124*M124&gt;150000,ROUNDDOWN(($H124*M124-150000)*6%*45%,0),0)</f>
        <v>0</v>
      </c>
      <c r="AU124" s="12">
        <f t="shared" ref="AU124" si="2354">IF($H124*N124&gt;150000,ROUNDDOWN(($H124*N124-150000)*6%*45%,0),0)</f>
        <v>0</v>
      </c>
      <c r="AV124" s="12">
        <f t="shared" ref="AV124" si="2355">IF($H124*O124&gt;150000,ROUNDDOWN(($H124*O124-150000)*6%*45%,0),0)</f>
        <v>0</v>
      </c>
      <c r="AW124" s="12">
        <f t="shared" ref="AW124" si="2356">IF($H124*P124&gt;150000,ROUNDDOWN(($H124*P124-150000)*6%*45%,0),0)</f>
        <v>0</v>
      </c>
      <c r="AX124" s="12">
        <f t="shared" ref="AX124" si="2357">IF($H124*Q124&gt;150000,ROUNDDOWN(($H124*Q124-150000)*6%*45%,0),0)</f>
        <v>0</v>
      </c>
      <c r="AY124" s="12">
        <f t="shared" ref="AY124" si="2358">IF($H124*R124&gt;150000,ROUNDDOWN(($H124*R124-150000)*6%*45%,0),0)</f>
        <v>0</v>
      </c>
      <c r="AZ124" s="12">
        <f t="shared" ref="AZ124" si="2359">IF($H124*S124&gt;150000,ROUNDDOWN(($H124*S124-150000)*6%*45%,0),0)</f>
        <v>0</v>
      </c>
      <c r="BA124" s="12">
        <f t="shared" ref="BA124" si="2360">IF($H124*T124&gt;150000,ROUNDDOWN(($H124*T124-150000)*6%*45%,0),0)</f>
        <v>0</v>
      </c>
      <c r="BB124" s="12">
        <f t="shared" ref="BB124" si="2361">IF($H124*U124&gt;150000,ROUNDDOWN(($H124*U124-150000)*6%*45%,0),0)</f>
        <v>0</v>
      </c>
      <c r="BC124" s="12">
        <f t="shared" ref="BC124" si="2362">IF($H124*V124&gt;150000,ROUNDDOWN(($H124*V124-150000)*6%*45%,0),0)</f>
        <v>0</v>
      </c>
      <c r="BD124" s="13">
        <f t="shared" ref="BD124" si="2363">IF($H124*W124&gt;150000,ROUNDDOWN(($H124*W124-150000)*6%*45%,0),0)</f>
        <v>0</v>
      </c>
      <c r="BE124" s="14"/>
    </row>
    <row r="125" spans="1:58" x14ac:dyDescent="0.3">
      <c r="A125" s="142"/>
      <c r="B125" s="116"/>
      <c r="C125" s="116"/>
      <c r="D125" s="143"/>
      <c r="E125" s="116"/>
      <c r="F125" s="116"/>
      <c r="G125" s="144"/>
      <c r="H125" s="112"/>
      <c r="I125" s="43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5"/>
      <c r="Y125" s="145"/>
      <c r="Z125" s="116"/>
      <c r="AA125" s="112"/>
      <c r="AB125" s="65">
        <f t="shared" ref="AB125" si="2364">ROUNDDOWN(AB124*10%,-1)</f>
        <v>0</v>
      </c>
      <c r="AC125" s="66">
        <f t="shared" ref="AC125" ca="1" si="2365">IFERROR(IF(AND( OR(COUNTIF(I124:X125, "&gt;0")&gt;=$AJ$1, AA124&gt;=$AJ$4),AN124&lt;60,AA124&lt;=$AH$5),ROUNDDOWN(ROUNDDOWN(AA124,-3)*$AH$4%,-1),IF(AND(COUNTIF(I124:X125,"&gt;0")&gt;=$AJ$1,AN124&lt;60,AA124&gt;$AH$5),$AJ$5,0)),0)</f>
        <v>0</v>
      </c>
      <c r="AD125" s="67">
        <f t="shared" ref="AD125" si="2366">IF(Z124&gt;=$AJ$1,ROUNDDOWN(AD124*$AH$3%/($AH$2*2%),-1),0)</f>
        <v>0</v>
      </c>
      <c r="AE125" s="112"/>
      <c r="AF125" s="112"/>
      <c r="AG125" s="116"/>
      <c r="AH125" s="116"/>
      <c r="AI125" s="116"/>
      <c r="AJ125" s="116"/>
      <c r="AK125" s="149"/>
      <c r="AL125" s="149"/>
      <c r="AM125" s="115"/>
      <c r="AN125" s="113"/>
      <c r="AO125" s="112"/>
      <c r="AP125" s="15">
        <f t="shared" ref="AP125" si="2367">IF($H124*I125&gt;150000,ROUNDDOWN(($H124*I125-150000)*6%*45%,0),0)</f>
        <v>0</v>
      </c>
      <c r="AQ125" s="16">
        <f t="shared" ref="AQ125" si="2368">IF($H124*J125&gt;150000,ROUNDDOWN(($H124*J125-150000)*6%*45%,0),0)</f>
        <v>0</v>
      </c>
      <c r="AR125" s="16">
        <f t="shared" ref="AR125" si="2369">IF($H124*K125&gt;150000,ROUNDDOWN(($H124*K125-150000)*6%*45%,0),0)</f>
        <v>0</v>
      </c>
      <c r="AS125" s="16">
        <f t="shared" ref="AS125" si="2370">IF($H124*L125&gt;150000,ROUNDDOWN(($H124*L125-150000)*6%*45%,0),0)</f>
        <v>0</v>
      </c>
      <c r="AT125" s="16">
        <f t="shared" ref="AT125" si="2371">IF($H124*M125&gt;150000,ROUNDDOWN(($H124*M125-150000)*6%*45%,0),0)</f>
        <v>0</v>
      </c>
      <c r="AU125" s="16">
        <f t="shared" ref="AU125" si="2372">IF($H124*N125&gt;150000,ROUNDDOWN(($H124*N125-150000)*6%*45%,0),0)</f>
        <v>0</v>
      </c>
      <c r="AV125" s="16">
        <f t="shared" ref="AV125" si="2373">IF($H124*O125&gt;150000,ROUNDDOWN(($H124*O125-150000)*6%*45%,0),0)</f>
        <v>0</v>
      </c>
      <c r="AW125" s="16">
        <f t="shared" ref="AW125" si="2374">IF($H124*P125&gt;150000,ROUNDDOWN(($H124*P125-150000)*6%*45%,0),0)</f>
        <v>0</v>
      </c>
      <c r="AX125" s="16">
        <f t="shared" ref="AX125" si="2375">IF($H124*Q125&gt;150000,ROUNDDOWN(($H124*Q125-150000)*6%*45%,0),0)</f>
        <v>0</v>
      </c>
      <c r="AY125" s="16">
        <f t="shared" ref="AY125" si="2376">IF($H124*R125&gt;150000,ROUNDDOWN(($H124*R125-150000)*6%*45%,0),0)</f>
        <v>0</v>
      </c>
      <c r="AZ125" s="16">
        <f t="shared" ref="AZ125" si="2377">IF($H124*S125&gt;150000,ROUNDDOWN(($H124*S125-150000)*6%*45%,0),0)</f>
        <v>0</v>
      </c>
      <c r="BA125" s="16">
        <f t="shared" ref="BA125" si="2378">IF($H124*T125&gt;150000,ROUNDDOWN(($H124*T125-150000)*6%*45%,0),0)</f>
        <v>0</v>
      </c>
      <c r="BB125" s="16">
        <f t="shared" ref="BB125" si="2379">IF($H124*U125&gt;150000,ROUNDDOWN(($H124*U125-150000)*6%*45%,0),0)</f>
        <v>0</v>
      </c>
      <c r="BC125" s="16">
        <f t="shared" ref="BC125" si="2380">IF($H124*V125&gt;150000,ROUNDDOWN(($H124*V125-150000)*6%*45%,0),0)</f>
        <v>0</v>
      </c>
      <c r="BD125" s="16">
        <f t="shared" ref="BD125" si="2381">IF($H124*W125&gt;150000,ROUNDDOWN(($H124*W125-150000)*6%*45%,0),0)</f>
        <v>0</v>
      </c>
      <c r="BE125" s="17">
        <f t="shared" ref="BE125" si="2382">IF($H124*X125&gt;150000,ROUNDDOWN(($H124*X125-150000)*6%*45%,0),0)</f>
        <v>0</v>
      </c>
      <c r="BF125" s="28"/>
    </row>
    <row r="126" spans="1:58" x14ac:dyDescent="0.3">
      <c r="A126" s="142">
        <v>60</v>
      </c>
      <c r="B126" s="116" t="str">
        <f t="shared" ref="B126" si="2383">IF(LEN(D126)&gt;1,IF(VALUE(MID(RIGHT(D126,7),1,1))&gt;4,"외국인",IF(VALUE(RIGHT(11-MOD((MID(D126,1,1)*2+MID(D126,2,1)*3+MID(D126,3,1)*4+MID(D126,4,1)*5+MID(D126,5,1)*6+MID(D126,6,1)*7+MID(RIGHT(D126,7),1,1)*8+MID(RIGHT(D126,7),2,1)*9+MID(RIGHT(D126,7),3,1)*2+MID(RIGHT(D126,7),4,1)*3+MID(RIGHT(D126,7),5,1)*4+MID(RIGHT(D126,7),6,1)*5),11),1))=VALUE(RIGHT(D126,1)),"","오류")),"")</f>
        <v/>
      </c>
      <c r="C126" s="116"/>
      <c r="D126" s="143"/>
      <c r="E126" s="116"/>
      <c r="F126" s="116"/>
      <c r="G126" s="144"/>
      <c r="H126" s="112"/>
      <c r="I126" s="38"/>
      <c r="J126" s="39"/>
      <c r="K126" s="39"/>
      <c r="L126" s="39"/>
      <c r="M126" s="39"/>
      <c r="N126" s="39"/>
      <c r="O126" s="39"/>
      <c r="P126" s="39"/>
      <c r="Q126" s="39"/>
      <c r="R126" s="39"/>
      <c r="S126" s="40"/>
      <c r="T126" s="40"/>
      <c r="U126" s="39"/>
      <c r="V126" s="39"/>
      <c r="W126" s="41"/>
      <c r="X126" s="42"/>
      <c r="Y126" s="145">
        <f>SUM(I126:X127)</f>
        <v>0</v>
      </c>
      <c r="Z126" s="116">
        <f>COUNTIF(I126:X127,"&gt;0")</f>
        <v>0</v>
      </c>
      <c r="AA126" s="112">
        <f t="shared" ref="AA126" si="2384">H126*Y126</f>
        <v>0</v>
      </c>
      <c r="AB126" s="62">
        <f t="shared" ref="AB126" si="2385">IF(AO126&lt;1000, 0, AO126)</f>
        <v>0</v>
      </c>
      <c r="AC126" s="63">
        <f ca="1">IF(IFERROR($AN126&lt;65,FALSE), IF(B126&lt;&gt;"외국인", ROUNDDOWN(AA126*$AH$1%,-1), IF(AND(AM126&lt;&gt;"", ISNUMBER(SEARCH(LEFT(SUBSTITUTE(AM126, "-",""),2), "F2_F5_F6"))), ROUNDDOWN(AA126*$AH$1%,-1), 0)),0)</f>
        <v>0</v>
      </c>
      <c r="AD126" s="64">
        <f t="shared" ref="AD126" si="2386">IF(Z126&gt;=$AJ$1,ROUNDDOWN(AA126*$AH$2%,-1),0)</f>
        <v>0</v>
      </c>
      <c r="AE126" s="112">
        <f t="shared" ref="AE126" ca="1" si="2387">AB126+AC126+AB127+AC127+AD126+AD127</f>
        <v>0</v>
      </c>
      <c r="AF126" s="112">
        <f t="shared" ref="AF126" ca="1" si="2388">AA126-AE126</f>
        <v>0</v>
      </c>
      <c r="AG126" s="116"/>
      <c r="AH126" s="116"/>
      <c r="AI126" s="116"/>
      <c r="AJ126" s="116"/>
      <c r="AK126" s="149"/>
      <c r="AL126" s="149"/>
      <c r="AM126" s="115"/>
      <c r="AN126" s="113" t="str">
        <f t="shared" ref="AN126" ca="1" si="2389">IFERROR(DATEDIF(DATE(IF(ISNUMBER(FIND(MID( SUBSTITUTE(D126, "-",""), 7, 1), "3478")), 2000, 1900)+MID(D126,1,2), MID(D126,3,2), MID(D126,5,2)), TODAY(), "Y"),"")</f>
        <v/>
      </c>
      <c r="AO126" s="112">
        <f>ROUNDDOWN(SUM(AP126:BE127),-1)</f>
        <v>0</v>
      </c>
      <c r="AP126" s="11">
        <f t="shared" ref="AP126" si="2390">IF($H126*I126&gt;150000,ROUNDDOWN(($H126*I126-150000)*6%*45%,0),0)</f>
        <v>0</v>
      </c>
      <c r="AQ126" s="12">
        <f t="shared" ref="AQ126" si="2391">IF($H126*J126&gt;150000,ROUNDDOWN(($H126*J126-150000)*6%*45%,0),0)</f>
        <v>0</v>
      </c>
      <c r="AR126" s="12">
        <f t="shared" ref="AR126" si="2392">IF($H126*K126&gt;150000,ROUNDDOWN(($H126*K126-150000)*6%*45%,0),0)</f>
        <v>0</v>
      </c>
      <c r="AS126" s="12">
        <f t="shared" ref="AS126" si="2393">IF($H126*L126&gt;150000,ROUNDDOWN(($H126*L126-150000)*6%*45%,0),0)</f>
        <v>0</v>
      </c>
      <c r="AT126" s="12">
        <f t="shared" ref="AT126" si="2394">IF($H126*M126&gt;150000,ROUNDDOWN(($H126*M126-150000)*6%*45%,0),0)</f>
        <v>0</v>
      </c>
      <c r="AU126" s="12">
        <f t="shared" ref="AU126" si="2395">IF($H126*N126&gt;150000,ROUNDDOWN(($H126*N126-150000)*6%*45%,0),0)</f>
        <v>0</v>
      </c>
      <c r="AV126" s="12">
        <f t="shared" ref="AV126" si="2396">IF($H126*O126&gt;150000,ROUNDDOWN(($H126*O126-150000)*6%*45%,0),0)</f>
        <v>0</v>
      </c>
      <c r="AW126" s="12">
        <f t="shared" ref="AW126" si="2397">IF($H126*P126&gt;150000,ROUNDDOWN(($H126*P126-150000)*6%*45%,0),0)</f>
        <v>0</v>
      </c>
      <c r="AX126" s="12">
        <f t="shared" ref="AX126" si="2398">IF($H126*Q126&gt;150000,ROUNDDOWN(($H126*Q126-150000)*6%*45%,0),0)</f>
        <v>0</v>
      </c>
      <c r="AY126" s="12">
        <f t="shared" ref="AY126" si="2399">IF($H126*R126&gt;150000,ROUNDDOWN(($H126*R126-150000)*6%*45%,0),0)</f>
        <v>0</v>
      </c>
      <c r="AZ126" s="12">
        <f t="shared" ref="AZ126" si="2400">IF($H126*S126&gt;150000,ROUNDDOWN(($H126*S126-150000)*6%*45%,0),0)</f>
        <v>0</v>
      </c>
      <c r="BA126" s="12">
        <f t="shared" ref="BA126" si="2401">IF($H126*T126&gt;150000,ROUNDDOWN(($H126*T126-150000)*6%*45%,0),0)</f>
        <v>0</v>
      </c>
      <c r="BB126" s="12">
        <f t="shared" ref="BB126" si="2402">IF($H126*U126&gt;150000,ROUNDDOWN(($H126*U126-150000)*6%*45%,0),0)</f>
        <v>0</v>
      </c>
      <c r="BC126" s="12">
        <f t="shared" ref="BC126" si="2403">IF($H126*V126&gt;150000,ROUNDDOWN(($H126*V126-150000)*6%*45%,0),0)</f>
        <v>0</v>
      </c>
      <c r="BD126" s="13">
        <f t="shared" ref="BD126" si="2404">IF($H126*W126&gt;150000,ROUNDDOWN(($H126*W126-150000)*6%*45%,0),0)</f>
        <v>0</v>
      </c>
      <c r="BE126" s="14"/>
    </row>
    <row r="127" spans="1:58" x14ac:dyDescent="0.3">
      <c r="A127" s="142"/>
      <c r="B127" s="116"/>
      <c r="C127" s="116"/>
      <c r="D127" s="143"/>
      <c r="E127" s="116"/>
      <c r="F127" s="116"/>
      <c r="G127" s="144"/>
      <c r="H127" s="112"/>
      <c r="I127" s="43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5"/>
      <c r="Y127" s="145"/>
      <c r="Z127" s="116"/>
      <c r="AA127" s="112"/>
      <c r="AB127" s="65">
        <f t="shared" ref="AB127" si="2405">ROUNDDOWN(AB126*10%,-1)</f>
        <v>0</v>
      </c>
      <c r="AC127" s="66">
        <f t="shared" ref="AC127" ca="1" si="2406">IFERROR(IF(AND( OR(COUNTIF(I126:X127, "&gt;0")&gt;=$AJ$1, AA126&gt;=$AJ$4),AN126&lt;60,AA126&lt;=$AH$5),ROUNDDOWN(ROUNDDOWN(AA126,-3)*$AH$4%,-1),IF(AND(COUNTIF(I126:X127,"&gt;0")&gt;=$AJ$1,AN126&lt;60,AA126&gt;$AH$5),$AJ$5,0)),0)</f>
        <v>0</v>
      </c>
      <c r="AD127" s="67">
        <f t="shared" ref="AD127" si="2407">IF(Z126&gt;=$AJ$1,ROUNDDOWN(AD126*$AH$3%/($AH$2*2%),-1),0)</f>
        <v>0</v>
      </c>
      <c r="AE127" s="112"/>
      <c r="AF127" s="112"/>
      <c r="AG127" s="116"/>
      <c r="AH127" s="116"/>
      <c r="AI127" s="116"/>
      <c r="AJ127" s="116"/>
      <c r="AK127" s="149"/>
      <c r="AL127" s="149"/>
      <c r="AM127" s="115"/>
      <c r="AN127" s="113"/>
      <c r="AO127" s="112"/>
      <c r="AP127" s="15">
        <f t="shared" ref="AP127" si="2408">IF($H126*I127&gt;150000,ROUNDDOWN(($H126*I127-150000)*6%*45%,0),0)</f>
        <v>0</v>
      </c>
      <c r="AQ127" s="16">
        <f t="shared" ref="AQ127" si="2409">IF($H126*J127&gt;150000,ROUNDDOWN(($H126*J127-150000)*6%*45%,0),0)</f>
        <v>0</v>
      </c>
      <c r="AR127" s="16">
        <f t="shared" ref="AR127" si="2410">IF($H126*K127&gt;150000,ROUNDDOWN(($H126*K127-150000)*6%*45%,0),0)</f>
        <v>0</v>
      </c>
      <c r="AS127" s="16">
        <f t="shared" ref="AS127" si="2411">IF($H126*L127&gt;150000,ROUNDDOWN(($H126*L127-150000)*6%*45%,0),0)</f>
        <v>0</v>
      </c>
      <c r="AT127" s="16">
        <f t="shared" ref="AT127" si="2412">IF($H126*M127&gt;150000,ROUNDDOWN(($H126*M127-150000)*6%*45%,0),0)</f>
        <v>0</v>
      </c>
      <c r="AU127" s="16">
        <f t="shared" ref="AU127" si="2413">IF($H126*N127&gt;150000,ROUNDDOWN(($H126*N127-150000)*6%*45%,0),0)</f>
        <v>0</v>
      </c>
      <c r="AV127" s="16">
        <f t="shared" ref="AV127" si="2414">IF($H126*O127&gt;150000,ROUNDDOWN(($H126*O127-150000)*6%*45%,0),0)</f>
        <v>0</v>
      </c>
      <c r="AW127" s="16">
        <f t="shared" ref="AW127" si="2415">IF($H126*P127&gt;150000,ROUNDDOWN(($H126*P127-150000)*6%*45%,0),0)</f>
        <v>0</v>
      </c>
      <c r="AX127" s="16">
        <f t="shared" ref="AX127" si="2416">IF($H126*Q127&gt;150000,ROUNDDOWN(($H126*Q127-150000)*6%*45%,0),0)</f>
        <v>0</v>
      </c>
      <c r="AY127" s="16">
        <f t="shared" ref="AY127" si="2417">IF($H126*R127&gt;150000,ROUNDDOWN(($H126*R127-150000)*6%*45%,0),0)</f>
        <v>0</v>
      </c>
      <c r="AZ127" s="16">
        <f t="shared" ref="AZ127" si="2418">IF($H126*S127&gt;150000,ROUNDDOWN(($H126*S127-150000)*6%*45%,0),0)</f>
        <v>0</v>
      </c>
      <c r="BA127" s="16">
        <f t="shared" ref="BA127" si="2419">IF($H126*T127&gt;150000,ROUNDDOWN(($H126*T127-150000)*6%*45%,0),0)</f>
        <v>0</v>
      </c>
      <c r="BB127" s="16">
        <f t="shared" ref="BB127" si="2420">IF($H126*U127&gt;150000,ROUNDDOWN(($H126*U127-150000)*6%*45%,0),0)</f>
        <v>0</v>
      </c>
      <c r="BC127" s="16">
        <f t="shared" ref="BC127" si="2421">IF($H126*V127&gt;150000,ROUNDDOWN(($H126*V127-150000)*6%*45%,0),0)</f>
        <v>0</v>
      </c>
      <c r="BD127" s="16">
        <f t="shared" ref="BD127" si="2422">IF($H126*W127&gt;150000,ROUNDDOWN(($H126*W127-150000)*6%*45%,0),0)</f>
        <v>0</v>
      </c>
      <c r="BE127" s="17">
        <f t="shared" ref="BE127" si="2423">IF($H126*X127&gt;150000,ROUNDDOWN(($H126*X127-150000)*6%*45%,0),0)</f>
        <v>0</v>
      </c>
      <c r="BF127" s="28"/>
    </row>
    <row r="128" spans="1:58" x14ac:dyDescent="0.3">
      <c r="A128" s="142">
        <v>61</v>
      </c>
      <c r="B128" s="116" t="str">
        <f t="shared" ref="B128" si="2424">IF(LEN(D128)&gt;1,IF(VALUE(MID(RIGHT(D128,7),1,1))&gt;4,"외국인",IF(VALUE(RIGHT(11-MOD((MID(D128,1,1)*2+MID(D128,2,1)*3+MID(D128,3,1)*4+MID(D128,4,1)*5+MID(D128,5,1)*6+MID(D128,6,1)*7+MID(RIGHT(D128,7),1,1)*8+MID(RIGHT(D128,7),2,1)*9+MID(RIGHT(D128,7),3,1)*2+MID(RIGHT(D128,7),4,1)*3+MID(RIGHT(D128,7),5,1)*4+MID(RIGHT(D128,7),6,1)*5),11),1))=VALUE(RIGHT(D128,1)),"","오류")),"")</f>
        <v/>
      </c>
      <c r="C128" s="116"/>
      <c r="D128" s="143"/>
      <c r="E128" s="116"/>
      <c r="F128" s="116"/>
      <c r="G128" s="144"/>
      <c r="H128" s="112"/>
      <c r="I128" s="38"/>
      <c r="J128" s="39"/>
      <c r="K128" s="39"/>
      <c r="L128" s="39"/>
      <c r="M128" s="39"/>
      <c r="N128" s="39"/>
      <c r="O128" s="39"/>
      <c r="P128" s="39"/>
      <c r="Q128" s="39"/>
      <c r="R128" s="39"/>
      <c r="S128" s="40"/>
      <c r="T128" s="40"/>
      <c r="U128" s="39"/>
      <c r="V128" s="39"/>
      <c r="W128" s="41"/>
      <c r="X128" s="42"/>
      <c r="Y128" s="145">
        <f>SUM(I128:X129)</f>
        <v>0</v>
      </c>
      <c r="Z128" s="116">
        <f>COUNTIF(I128:X129,"&gt;0")</f>
        <v>0</v>
      </c>
      <c r="AA128" s="112">
        <f t="shared" ref="AA128" si="2425">H128*Y128</f>
        <v>0</v>
      </c>
      <c r="AB128" s="62">
        <f t="shared" ref="AB128" si="2426">IF(AO128&lt;1000, 0, AO128)</f>
        <v>0</v>
      </c>
      <c r="AC128" s="63">
        <f ca="1">IF(IFERROR($AN128&lt;65,FALSE), IF(B128&lt;&gt;"외국인", ROUNDDOWN(AA128*$AH$1%,-1), IF(AND(AM128&lt;&gt;"", ISNUMBER(SEARCH(LEFT(SUBSTITUTE(AM128, "-",""),2), "F2_F5_F6"))), ROUNDDOWN(AA128*$AH$1%,-1), 0)),0)</f>
        <v>0</v>
      </c>
      <c r="AD128" s="64">
        <f t="shared" ref="AD128" si="2427">IF(Z128&gt;=$AJ$1,ROUNDDOWN(AA128*$AH$2%,-1),0)</f>
        <v>0</v>
      </c>
      <c r="AE128" s="112">
        <f t="shared" ref="AE128" ca="1" si="2428">AB128+AC128+AB129+AC129+AD128+AD129</f>
        <v>0</v>
      </c>
      <c r="AF128" s="112">
        <f t="shared" ref="AF128" ca="1" si="2429">AA128-AE128</f>
        <v>0</v>
      </c>
      <c r="AG128" s="116"/>
      <c r="AH128" s="116"/>
      <c r="AI128" s="116"/>
      <c r="AJ128" s="116"/>
      <c r="AK128" s="149"/>
      <c r="AL128" s="149"/>
      <c r="AM128" s="115"/>
      <c r="AN128" s="113" t="str">
        <f t="shared" ref="AN128" ca="1" si="2430">IFERROR(DATEDIF(DATE(IF(ISNUMBER(FIND(MID( SUBSTITUTE(D128, "-",""), 7, 1), "3478")), 2000, 1900)+MID(D128,1,2), MID(D128,3,2), MID(D128,5,2)), TODAY(), "Y"),"")</f>
        <v/>
      </c>
      <c r="AO128" s="112">
        <f>ROUNDDOWN(SUM(AP128:BE129),-1)</f>
        <v>0</v>
      </c>
      <c r="AP128" s="11">
        <f t="shared" ref="AP128" si="2431">IF($H128*I128&gt;150000,ROUNDDOWN(($H128*I128-150000)*6%*45%,0),0)</f>
        <v>0</v>
      </c>
      <c r="AQ128" s="12">
        <f t="shared" ref="AQ128" si="2432">IF($H128*J128&gt;150000,ROUNDDOWN(($H128*J128-150000)*6%*45%,0),0)</f>
        <v>0</v>
      </c>
      <c r="AR128" s="12">
        <f t="shared" ref="AR128" si="2433">IF($H128*K128&gt;150000,ROUNDDOWN(($H128*K128-150000)*6%*45%,0),0)</f>
        <v>0</v>
      </c>
      <c r="AS128" s="12">
        <f t="shared" ref="AS128" si="2434">IF($H128*L128&gt;150000,ROUNDDOWN(($H128*L128-150000)*6%*45%,0),0)</f>
        <v>0</v>
      </c>
      <c r="AT128" s="12">
        <f t="shared" ref="AT128" si="2435">IF($H128*M128&gt;150000,ROUNDDOWN(($H128*M128-150000)*6%*45%,0),0)</f>
        <v>0</v>
      </c>
      <c r="AU128" s="12">
        <f t="shared" ref="AU128" si="2436">IF($H128*N128&gt;150000,ROUNDDOWN(($H128*N128-150000)*6%*45%,0),0)</f>
        <v>0</v>
      </c>
      <c r="AV128" s="12">
        <f t="shared" ref="AV128" si="2437">IF($H128*O128&gt;150000,ROUNDDOWN(($H128*O128-150000)*6%*45%,0),0)</f>
        <v>0</v>
      </c>
      <c r="AW128" s="12">
        <f t="shared" ref="AW128" si="2438">IF($H128*P128&gt;150000,ROUNDDOWN(($H128*P128-150000)*6%*45%,0),0)</f>
        <v>0</v>
      </c>
      <c r="AX128" s="12">
        <f t="shared" ref="AX128" si="2439">IF($H128*Q128&gt;150000,ROUNDDOWN(($H128*Q128-150000)*6%*45%,0),0)</f>
        <v>0</v>
      </c>
      <c r="AY128" s="12">
        <f t="shared" ref="AY128" si="2440">IF($H128*R128&gt;150000,ROUNDDOWN(($H128*R128-150000)*6%*45%,0),0)</f>
        <v>0</v>
      </c>
      <c r="AZ128" s="12">
        <f t="shared" ref="AZ128" si="2441">IF($H128*S128&gt;150000,ROUNDDOWN(($H128*S128-150000)*6%*45%,0),0)</f>
        <v>0</v>
      </c>
      <c r="BA128" s="12">
        <f t="shared" ref="BA128" si="2442">IF($H128*T128&gt;150000,ROUNDDOWN(($H128*T128-150000)*6%*45%,0),0)</f>
        <v>0</v>
      </c>
      <c r="BB128" s="12">
        <f t="shared" ref="BB128" si="2443">IF($H128*U128&gt;150000,ROUNDDOWN(($H128*U128-150000)*6%*45%,0),0)</f>
        <v>0</v>
      </c>
      <c r="BC128" s="12">
        <f t="shared" ref="BC128" si="2444">IF($H128*V128&gt;150000,ROUNDDOWN(($H128*V128-150000)*6%*45%,0),0)</f>
        <v>0</v>
      </c>
      <c r="BD128" s="13">
        <f t="shared" ref="BD128" si="2445">IF($H128*W128&gt;150000,ROUNDDOWN(($H128*W128-150000)*6%*45%,0),0)</f>
        <v>0</v>
      </c>
      <c r="BE128" s="14"/>
    </row>
    <row r="129" spans="1:58" x14ac:dyDescent="0.3">
      <c r="A129" s="142"/>
      <c r="B129" s="116"/>
      <c r="C129" s="116"/>
      <c r="D129" s="143"/>
      <c r="E129" s="116"/>
      <c r="F129" s="116"/>
      <c r="G129" s="144"/>
      <c r="H129" s="112"/>
      <c r="I129" s="43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5"/>
      <c r="Y129" s="145"/>
      <c r="Z129" s="116"/>
      <c r="AA129" s="112"/>
      <c r="AB129" s="65">
        <f t="shared" ref="AB129" si="2446">ROUNDDOWN(AB128*10%,-1)</f>
        <v>0</v>
      </c>
      <c r="AC129" s="66">
        <f t="shared" ref="AC129" ca="1" si="2447">IFERROR(IF(AND( OR(COUNTIF(I128:X129, "&gt;0")&gt;=$AJ$1, AA128&gt;=$AJ$4),AN128&lt;60,AA128&lt;=$AH$5),ROUNDDOWN(ROUNDDOWN(AA128,-3)*$AH$4%,-1),IF(AND(COUNTIF(I128:X129,"&gt;0")&gt;=$AJ$1,AN128&lt;60,AA128&gt;$AH$5),$AJ$5,0)),0)</f>
        <v>0</v>
      </c>
      <c r="AD129" s="67">
        <f t="shared" ref="AD129" si="2448">IF(Z128&gt;=$AJ$1,ROUNDDOWN(AD128*$AH$3%/($AH$2*2%),-1),0)</f>
        <v>0</v>
      </c>
      <c r="AE129" s="112"/>
      <c r="AF129" s="112"/>
      <c r="AG129" s="116"/>
      <c r="AH129" s="116"/>
      <c r="AI129" s="116"/>
      <c r="AJ129" s="116"/>
      <c r="AK129" s="149"/>
      <c r="AL129" s="149"/>
      <c r="AM129" s="115"/>
      <c r="AN129" s="113"/>
      <c r="AO129" s="112"/>
      <c r="AP129" s="15">
        <f t="shared" ref="AP129" si="2449">IF($H128*I129&gt;150000,ROUNDDOWN(($H128*I129-150000)*6%*45%,0),0)</f>
        <v>0</v>
      </c>
      <c r="AQ129" s="16">
        <f t="shared" ref="AQ129" si="2450">IF($H128*J129&gt;150000,ROUNDDOWN(($H128*J129-150000)*6%*45%,0),0)</f>
        <v>0</v>
      </c>
      <c r="AR129" s="16">
        <f t="shared" ref="AR129" si="2451">IF($H128*K129&gt;150000,ROUNDDOWN(($H128*K129-150000)*6%*45%,0),0)</f>
        <v>0</v>
      </c>
      <c r="AS129" s="16">
        <f t="shared" ref="AS129" si="2452">IF($H128*L129&gt;150000,ROUNDDOWN(($H128*L129-150000)*6%*45%,0),0)</f>
        <v>0</v>
      </c>
      <c r="AT129" s="16">
        <f t="shared" ref="AT129" si="2453">IF($H128*M129&gt;150000,ROUNDDOWN(($H128*M129-150000)*6%*45%,0),0)</f>
        <v>0</v>
      </c>
      <c r="AU129" s="16">
        <f t="shared" ref="AU129" si="2454">IF($H128*N129&gt;150000,ROUNDDOWN(($H128*N129-150000)*6%*45%,0),0)</f>
        <v>0</v>
      </c>
      <c r="AV129" s="16">
        <f t="shared" ref="AV129" si="2455">IF($H128*O129&gt;150000,ROUNDDOWN(($H128*O129-150000)*6%*45%,0),0)</f>
        <v>0</v>
      </c>
      <c r="AW129" s="16">
        <f t="shared" ref="AW129" si="2456">IF($H128*P129&gt;150000,ROUNDDOWN(($H128*P129-150000)*6%*45%,0),0)</f>
        <v>0</v>
      </c>
      <c r="AX129" s="16">
        <f t="shared" ref="AX129" si="2457">IF($H128*Q129&gt;150000,ROUNDDOWN(($H128*Q129-150000)*6%*45%,0),0)</f>
        <v>0</v>
      </c>
      <c r="AY129" s="16">
        <f t="shared" ref="AY129" si="2458">IF($H128*R129&gt;150000,ROUNDDOWN(($H128*R129-150000)*6%*45%,0),0)</f>
        <v>0</v>
      </c>
      <c r="AZ129" s="16">
        <f t="shared" ref="AZ129" si="2459">IF($H128*S129&gt;150000,ROUNDDOWN(($H128*S129-150000)*6%*45%,0),0)</f>
        <v>0</v>
      </c>
      <c r="BA129" s="16">
        <f t="shared" ref="BA129" si="2460">IF($H128*T129&gt;150000,ROUNDDOWN(($H128*T129-150000)*6%*45%,0),0)</f>
        <v>0</v>
      </c>
      <c r="BB129" s="16">
        <f t="shared" ref="BB129" si="2461">IF($H128*U129&gt;150000,ROUNDDOWN(($H128*U129-150000)*6%*45%,0),0)</f>
        <v>0</v>
      </c>
      <c r="BC129" s="16">
        <f t="shared" ref="BC129" si="2462">IF($H128*V129&gt;150000,ROUNDDOWN(($H128*V129-150000)*6%*45%,0),0)</f>
        <v>0</v>
      </c>
      <c r="BD129" s="16">
        <f t="shared" ref="BD129" si="2463">IF($H128*W129&gt;150000,ROUNDDOWN(($H128*W129-150000)*6%*45%,0),0)</f>
        <v>0</v>
      </c>
      <c r="BE129" s="17">
        <f t="shared" ref="BE129" si="2464">IF($H128*X129&gt;150000,ROUNDDOWN(($H128*X129-150000)*6%*45%,0),0)</f>
        <v>0</v>
      </c>
      <c r="BF129" s="28"/>
    </row>
    <row r="130" spans="1:58" x14ac:dyDescent="0.3">
      <c r="A130" s="142">
        <v>62</v>
      </c>
      <c r="B130" s="116" t="str">
        <f t="shared" ref="B130" si="2465">IF(LEN(D130)&gt;1,IF(VALUE(MID(RIGHT(D130,7),1,1))&gt;4,"외국인",IF(VALUE(RIGHT(11-MOD((MID(D130,1,1)*2+MID(D130,2,1)*3+MID(D130,3,1)*4+MID(D130,4,1)*5+MID(D130,5,1)*6+MID(D130,6,1)*7+MID(RIGHT(D130,7),1,1)*8+MID(RIGHT(D130,7),2,1)*9+MID(RIGHT(D130,7),3,1)*2+MID(RIGHT(D130,7),4,1)*3+MID(RIGHT(D130,7),5,1)*4+MID(RIGHT(D130,7),6,1)*5),11),1))=VALUE(RIGHT(D130,1)),"","오류")),"")</f>
        <v/>
      </c>
      <c r="C130" s="116"/>
      <c r="D130" s="143"/>
      <c r="E130" s="116"/>
      <c r="F130" s="116"/>
      <c r="G130" s="144"/>
      <c r="H130" s="112"/>
      <c r="I130" s="38"/>
      <c r="J130" s="39"/>
      <c r="K130" s="39"/>
      <c r="L130" s="39"/>
      <c r="M130" s="39"/>
      <c r="N130" s="39"/>
      <c r="O130" s="39"/>
      <c r="P130" s="39"/>
      <c r="Q130" s="39"/>
      <c r="R130" s="39"/>
      <c r="S130" s="40"/>
      <c r="T130" s="40"/>
      <c r="U130" s="39"/>
      <c r="V130" s="39"/>
      <c r="W130" s="41"/>
      <c r="X130" s="42"/>
      <c r="Y130" s="145">
        <f>SUM(I130:X131)</f>
        <v>0</v>
      </c>
      <c r="Z130" s="116">
        <f>COUNTIF(I130:X131,"&gt;0")</f>
        <v>0</v>
      </c>
      <c r="AA130" s="112">
        <f t="shared" ref="AA130" si="2466">H130*Y130</f>
        <v>0</v>
      </c>
      <c r="AB130" s="62">
        <f t="shared" ref="AB130" si="2467">IF(AO130&lt;1000, 0, AO130)</f>
        <v>0</v>
      </c>
      <c r="AC130" s="63">
        <f ca="1">IF(IFERROR($AN130&lt;65,FALSE), IF(B130&lt;&gt;"외국인", ROUNDDOWN(AA130*$AH$1%,-1), IF(AND(AM130&lt;&gt;"", ISNUMBER(SEARCH(LEFT(SUBSTITUTE(AM130, "-",""),2), "F2_F5_F6"))), ROUNDDOWN(AA130*$AH$1%,-1), 0)),0)</f>
        <v>0</v>
      </c>
      <c r="AD130" s="64">
        <f t="shared" ref="AD130" si="2468">IF(Z130&gt;=$AJ$1,ROUNDDOWN(AA130*$AH$2%,-1),0)</f>
        <v>0</v>
      </c>
      <c r="AE130" s="112">
        <f t="shared" ref="AE130" ca="1" si="2469">AB130+AC130+AB131+AC131+AD130+AD131</f>
        <v>0</v>
      </c>
      <c r="AF130" s="112">
        <f t="shared" ref="AF130" ca="1" si="2470">AA130-AE130</f>
        <v>0</v>
      </c>
      <c r="AG130" s="116"/>
      <c r="AH130" s="116"/>
      <c r="AI130" s="116"/>
      <c r="AJ130" s="116"/>
      <c r="AK130" s="149"/>
      <c r="AL130" s="149"/>
      <c r="AM130" s="115"/>
      <c r="AN130" s="113" t="str">
        <f t="shared" ref="AN130" ca="1" si="2471">IFERROR(DATEDIF(DATE(IF(ISNUMBER(FIND(MID( SUBSTITUTE(D130, "-",""), 7, 1), "3478")), 2000, 1900)+MID(D130,1,2), MID(D130,3,2), MID(D130,5,2)), TODAY(), "Y"),"")</f>
        <v/>
      </c>
      <c r="AO130" s="112">
        <f>ROUNDDOWN(SUM(AP130:BE131),-1)</f>
        <v>0</v>
      </c>
      <c r="AP130" s="11">
        <f t="shared" ref="AP130" si="2472">IF($H130*I130&gt;150000,ROUNDDOWN(($H130*I130-150000)*6%*45%,0),0)</f>
        <v>0</v>
      </c>
      <c r="AQ130" s="12">
        <f t="shared" ref="AQ130" si="2473">IF($H130*J130&gt;150000,ROUNDDOWN(($H130*J130-150000)*6%*45%,0),0)</f>
        <v>0</v>
      </c>
      <c r="AR130" s="12">
        <f t="shared" ref="AR130" si="2474">IF($H130*K130&gt;150000,ROUNDDOWN(($H130*K130-150000)*6%*45%,0),0)</f>
        <v>0</v>
      </c>
      <c r="AS130" s="12">
        <f t="shared" ref="AS130" si="2475">IF($H130*L130&gt;150000,ROUNDDOWN(($H130*L130-150000)*6%*45%,0),0)</f>
        <v>0</v>
      </c>
      <c r="AT130" s="12">
        <f t="shared" ref="AT130" si="2476">IF($H130*M130&gt;150000,ROUNDDOWN(($H130*M130-150000)*6%*45%,0),0)</f>
        <v>0</v>
      </c>
      <c r="AU130" s="12">
        <f t="shared" ref="AU130" si="2477">IF($H130*N130&gt;150000,ROUNDDOWN(($H130*N130-150000)*6%*45%,0),0)</f>
        <v>0</v>
      </c>
      <c r="AV130" s="12">
        <f t="shared" ref="AV130" si="2478">IF($H130*O130&gt;150000,ROUNDDOWN(($H130*O130-150000)*6%*45%,0),0)</f>
        <v>0</v>
      </c>
      <c r="AW130" s="12">
        <f t="shared" ref="AW130" si="2479">IF($H130*P130&gt;150000,ROUNDDOWN(($H130*P130-150000)*6%*45%,0),0)</f>
        <v>0</v>
      </c>
      <c r="AX130" s="12">
        <f t="shared" ref="AX130" si="2480">IF($H130*Q130&gt;150000,ROUNDDOWN(($H130*Q130-150000)*6%*45%,0),0)</f>
        <v>0</v>
      </c>
      <c r="AY130" s="12">
        <f t="shared" ref="AY130" si="2481">IF($H130*R130&gt;150000,ROUNDDOWN(($H130*R130-150000)*6%*45%,0),0)</f>
        <v>0</v>
      </c>
      <c r="AZ130" s="12">
        <f t="shared" ref="AZ130" si="2482">IF($H130*S130&gt;150000,ROUNDDOWN(($H130*S130-150000)*6%*45%,0),0)</f>
        <v>0</v>
      </c>
      <c r="BA130" s="12">
        <f t="shared" ref="BA130" si="2483">IF($H130*T130&gt;150000,ROUNDDOWN(($H130*T130-150000)*6%*45%,0),0)</f>
        <v>0</v>
      </c>
      <c r="BB130" s="12">
        <f t="shared" ref="BB130" si="2484">IF($H130*U130&gt;150000,ROUNDDOWN(($H130*U130-150000)*6%*45%,0),0)</f>
        <v>0</v>
      </c>
      <c r="BC130" s="12">
        <f t="shared" ref="BC130" si="2485">IF($H130*V130&gt;150000,ROUNDDOWN(($H130*V130-150000)*6%*45%,0),0)</f>
        <v>0</v>
      </c>
      <c r="BD130" s="13">
        <f t="shared" ref="BD130" si="2486">IF($H130*W130&gt;150000,ROUNDDOWN(($H130*W130-150000)*6%*45%,0),0)</f>
        <v>0</v>
      </c>
      <c r="BE130" s="14"/>
    </row>
    <row r="131" spans="1:58" x14ac:dyDescent="0.3">
      <c r="A131" s="142"/>
      <c r="B131" s="116"/>
      <c r="C131" s="116"/>
      <c r="D131" s="143"/>
      <c r="E131" s="116"/>
      <c r="F131" s="116"/>
      <c r="G131" s="144"/>
      <c r="H131" s="112"/>
      <c r="I131" s="43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5"/>
      <c r="Y131" s="145"/>
      <c r="Z131" s="116"/>
      <c r="AA131" s="112"/>
      <c r="AB131" s="65">
        <f t="shared" ref="AB131" si="2487">ROUNDDOWN(AB130*10%,-1)</f>
        <v>0</v>
      </c>
      <c r="AC131" s="66">
        <f t="shared" ref="AC131" ca="1" si="2488">IFERROR(IF(AND( OR(COUNTIF(I130:X131, "&gt;0")&gt;=$AJ$1, AA130&gt;=$AJ$4),AN130&lt;60,AA130&lt;=$AH$5),ROUNDDOWN(ROUNDDOWN(AA130,-3)*$AH$4%,-1),IF(AND(COUNTIF(I130:X131,"&gt;0")&gt;=$AJ$1,AN130&lt;60,AA130&gt;$AH$5),$AJ$5,0)),0)</f>
        <v>0</v>
      </c>
      <c r="AD131" s="67">
        <f t="shared" ref="AD131" si="2489">IF(Z130&gt;=$AJ$1,ROUNDDOWN(AD130*$AH$3%/($AH$2*2%),-1),0)</f>
        <v>0</v>
      </c>
      <c r="AE131" s="112"/>
      <c r="AF131" s="112"/>
      <c r="AG131" s="116"/>
      <c r="AH131" s="116"/>
      <c r="AI131" s="116"/>
      <c r="AJ131" s="116"/>
      <c r="AK131" s="149"/>
      <c r="AL131" s="149"/>
      <c r="AM131" s="115"/>
      <c r="AN131" s="113"/>
      <c r="AO131" s="112"/>
      <c r="AP131" s="15">
        <f t="shared" ref="AP131" si="2490">IF($H130*I131&gt;150000,ROUNDDOWN(($H130*I131-150000)*6%*45%,0),0)</f>
        <v>0</v>
      </c>
      <c r="AQ131" s="16">
        <f t="shared" ref="AQ131" si="2491">IF($H130*J131&gt;150000,ROUNDDOWN(($H130*J131-150000)*6%*45%,0),0)</f>
        <v>0</v>
      </c>
      <c r="AR131" s="16">
        <f t="shared" ref="AR131" si="2492">IF($H130*K131&gt;150000,ROUNDDOWN(($H130*K131-150000)*6%*45%,0),0)</f>
        <v>0</v>
      </c>
      <c r="AS131" s="16">
        <f t="shared" ref="AS131" si="2493">IF($H130*L131&gt;150000,ROUNDDOWN(($H130*L131-150000)*6%*45%,0),0)</f>
        <v>0</v>
      </c>
      <c r="AT131" s="16">
        <f t="shared" ref="AT131" si="2494">IF($H130*M131&gt;150000,ROUNDDOWN(($H130*M131-150000)*6%*45%,0),0)</f>
        <v>0</v>
      </c>
      <c r="AU131" s="16">
        <f t="shared" ref="AU131" si="2495">IF($H130*N131&gt;150000,ROUNDDOWN(($H130*N131-150000)*6%*45%,0),0)</f>
        <v>0</v>
      </c>
      <c r="AV131" s="16">
        <f t="shared" ref="AV131" si="2496">IF($H130*O131&gt;150000,ROUNDDOWN(($H130*O131-150000)*6%*45%,0),0)</f>
        <v>0</v>
      </c>
      <c r="AW131" s="16">
        <f t="shared" ref="AW131" si="2497">IF($H130*P131&gt;150000,ROUNDDOWN(($H130*P131-150000)*6%*45%,0),0)</f>
        <v>0</v>
      </c>
      <c r="AX131" s="16">
        <f t="shared" ref="AX131" si="2498">IF($H130*Q131&gt;150000,ROUNDDOWN(($H130*Q131-150000)*6%*45%,0),0)</f>
        <v>0</v>
      </c>
      <c r="AY131" s="16">
        <f t="shared" ref="AY131" si="2499">IF($H130*R131&gt;150000,ROUNDDOWN(($H130*R131-150000)*6%*45%,0),0)</f>
        <v>0</v>
      </c>
      <c r="AZ131" s="16">
        <f t="shared" ref="AZ131" si="2500">IF($H130*S131&gt;150000,ROUNDDOWN(($H130*S131-150000)*6%*45%,0),0)</f>
        <v>0</v>
      </c>
      <c r="BA131" s="16">
        <f t="shared" ref="BA131" si="2501">IF($H130*T131&gt;150000,ROUNDDOWN(($H130*T131-150000)*6%*45%,0),0)</f>
        <v>0</v>
      </c>
      <c r="BB131" s="16">
        <f t="shared" ref="BB131" si="2502">IF($H130*U131&gt;150000,ROUNDDOWN(($H130*U131-150000)*6%*45%,0),0)</f>
        <v>0</v>
      </c>
      <c r="BC131" s="16">
        <f t="shared" ref="BC131" si="2503">IF($H130*V131&gt;150000,ROUNDDOWN(($H130*V131-150000)*6%*45%,0),0)</f>
        <v>0</v>
      </c>
      <c r="BD131" s="16">
        <f t="shared" ref="BD131" si="2504">IF($H130*W131&gt;150000,ROUNDDOWN(($H130*W131-150000)*6%*45%,0),0)</f>
        <v>0</v>
      </c>
      <c r="BE131" s="17">
        <f t="shared" ref="BE131" si="2505">IF($H130*X131&gt;150000,ROUNDDOWN(($H130*X131-150000)*6%*45%,0),0)</f>
        <v>0</v>
      </c>
      <c r="BF131" s="28"/>
    </row>
    <row r="132" spans="1:58" x14ac:dyDescent="0.3">
      <c r="A132" s="142">
        <v>63</v>
      </c>
      <c r="B132" s="116" t="str">
        <f t="shared" ref="B132" si="2506">IF(LEN(D132)&gt;1,IF(VALUE(MID(RIGHT(D132,7),1,1))&gt;4,"외국인",IF(VALUE(RIGHT(11-MOD((MID(D132,1,1)*2+MID(D132,2,1)*3+MID(D132,3,1)*4+MID(D132,4,1)*5+MID(D132,5,1)*6+MID(D132,6,1)*7+MID(RIGHT(D132,7),1,1)*8+MID(RIGHT(D132,7),2,1)*9+MID(RIGHT(D132,7),3,1)*2+MID(RIGHT(D132,7),4,1)*3+MID(RIGHT(D132,7),5,1)*4+MID(RIGHT(D132,7),6,1)*5),11),1))=VALUE(RIGHT(D132,1)),"","오류")),"")</f>
        <v/>
      </c>
      <c r="C132" s="116"/>
      <c r="D132" s="143"/>
      <c r="E132" s="116"/>
      <c r="F132" s="116"/>
      <c r="G132" s="144"/>
      <c r="H132" s="112"/>
      <c r="I132" s="38"/>
      <c r="J132" s="39"/>
      <c r="K132" s="39"/>
      <c r="L132" s="39"/>
      <c r="M132" s="39"/>
      <c r="N132" s="39"/>
      <c r="O132" s="39"/>
      <c r="P132" s="39"/>
      <c r="Q132" s="39"/>
      <c r="R132" s="39"/>
      <c r="S132" s="40"/>
      <c r="T132" s="40"/>
      <c r="U132" s="39"/>
      <c r="V132" s="39"/>
      <c r="W132" s="41"/>
      <c r="X132" s="42"/>
      <c r="Y132" s="145">
        <f>SUM(I132:X133)</f>
        <v>0</v>
      </c>
      <c r="Z132" s="116">
        <f>COUNTIF(I132:X133,"&gt;0")</f>
        <v>0</v>
      </c>
      <c r="AA132" s="112">
        <f t="shared" ref="AA132" si="2507">H132*Y132</f>
        <v>0</v>
      </c>
      <c r="AB132" s="62">
        <f t="shared" ref="AB132" si="2508">IF(AO132&lt;1000, 0, AO132)</f>
        <v>0</v>
      </c>
      <c r="AC132" s="63">
        <f ca="1">IF(IFERROR($AN132&lt;65,FALSE), IF(B132&lt;&gt;"외국인", ROUNDDOWN(AA132*$AH$1%,-1), IF(AND(AM132&lt;&gt;"", ISNUMBER(SEARCH(LEFT(SUBSTITUTE(AM132, "-",""),2), "F2_F5_F6"))), ROUNDDOWN(AA132*$AH$1%,-1), 0)),0)</f>
        <v>0</v>
      </c>
      <c r="AD132" s="64">
        <f t="shared" ref="AD132" si="2509">IF(Z132&gt;=$AJ$1,ROUNDDOWN(AA132*$AH$2%,-1),0)</f>
        <v>0</v>
      </c>
      <c r="AE132" s="112">
        <f t="shared" ref="AE132" ca="1" si="2510">AB132+AC132+AB133+AC133+AD132+AD133</f>
        <v>0</v>
      </c>
      <c r="AF132" s="112">
        <f t="shared" ref="AF132" ca="1" si="2511">AA132-AE132</f>
        <v>0</v>
      </c>
      <c r="AG132" s="116"/>
      <c r="AH132" s="116"/>
      <c r="AI132" s="116"/>
      <c r="AJ132" s="116"/>
      <c r="AK132" s="149"/>
      <c r="AL132" s="149"/>
      <c r="AM132" s="115"/>
      <c r="AN132" s="113" t="str">
        <f t="shared" ref="AN132" ca="1" si="2512">IFERROR(DATEDIF(DATE(IF(ISNUMBER(FIND(MID( SUBSTITUTE(D132, "-",""), 7, 1), "3478")), 2000, 1900)+MID(D132,1,2), MID(D132,3,2), MID(D132,5,2)), TODAY(), "Y"),"")</f>
        <v/>
      </c>
      <c r="AO132" s="112">
        <f>ROUNDDOWN(SUM(AP132:BE133),-1)</f>
        <v>0</v>
      </c>
      <c r="AP132" s="11">
        <f t="shared" ref="AP132" si="2513">IF($H132*I132&gt;150000,ROUNDDOWN(($H132*I132-150000)*6%*45%,0),0)</f>
        <v>0</v>
      </c>
      <c r="AQ132" s="12">
        <f t="shared" ref="AQ132" si="2514">IF($H132*J132&gt;150000,ROUNDDOWN(($H132*J132-150000)*6%*45%,0),0)</f>
        <v>0</v>
      </c>
      <c r="AR132" s="12">
        <f t="shared" ref="AR132" si="2515">IF($H132*K132&gt;150000,ROUNDDOWN(($H132*K132-150000)*6%*45%,0),0)</f>
        <v>0</v>
      </c>
      <c r="AS132" s="12">
        <f t="shared" ref="AS132" si="2516">IF($H132*L132&gt;150000,ROUNDDOWN(($H132*L132-150000)*6%*45%,0),0)</f>
        <v>0</v>
      </c>
      <c r="AT132" s="12">
        <f t="shared" ref="AT132" si="2517">IF($H132*M132&gt;150000,ROUNDDOWN(($H132*M132-150000)*6%*45%,0),0)</f>
        <v>0</v>
      </c>
      <c r="AU132" s="12">
        <f t="shared" ref="AU132" si="2518">IF($H132*N132&gt;150000,ROUNDDOWN(($H132*N132-150000)*6%*45%,0),0)</f>
        <v>0</v>
      </c>
      <c r="AV132" s="12">
        <f t="shared" ref="AV132" si="2519">IF($H132*O132&gt;150000,ROUNDDOWN(($H132*O132-150000)*6%*45%,0),0)</f>
        <v>0</v>
      </c>
      <c r="AW132" s="12">
        <f t="shared" ref="AW132" si="2520">IF($H132*P132&gt;150000,ROUNDDOWN(($H132*P132-150000)*6%*45%,0),0)</f>
        <v>0</v>
      </c>
      <c r="AX132" s="12">
        <f t="shared" ref="AX132" si="2521">IF($H132*Q132&gt;150000,ROUNDDOWN(($H132*Q132-150000)*6%*45%,0),0)</f>
        <v>0</v>
      </c>
      <c r="AY132" s="12">
        <f t="shared" ref="AY132" si="2522">IF($H132*R132&gt;150000,ROUNDDOWN(($H132*R132-150000)*6%*45%,0),0)</f>
        <v>0</v>
      </c>
      <c r="AZ132" s="12">
        <f t="shared" ref="AZ132" si="2523">IF($H132*S132&gt;150000,ROUNDDOWN(($H132*S132-150000)*6%*45%,0),0)</f>
        <v>0</v>
      </c>
      <c r="BA132" s="12">
        <f t="shared" ref="BA132" si="2524">IF($H132*T132&gt;150000,ROUNDDOWN(($H132*T132-150000)*6%*45%,0),0)</f>
        <v>0</v>
      </c>
      <c r="BB132" s="12">
        <f t="shared" ref="BB132" si="2525">IF($H132*U132&gt;150000,ROUNDDOWN(($H132*U132-150000)*6%*45%,0),0)</f>
        <v>0</v>
      </c>
      <c r="BC132" s="12">
        <f t="shared" ref="BC132" si="2526">IF($H132*V132&gt;150000,ROUNDDOWN(($H132*V132-150000)*6%*45%,0),0)</f>
        <v>0</v>
      </c>
      <c r="BD132" s="13">
        <f t="shared" ref="BD132" si="2527">IF($H132*W132&gt;150000,ROUNDDOWN(($H132*W132-150000)*6%*45%,0),0)</f>
        <v>0</v>
      </c>
      <c r="BE132" s="14"/>
    </row>
    <row r="133" spans="1:58" x14ac:dyDescent="0.3">
      <c r="A133" s="142"/>
      <c r="B133" s="116"/>
      <c r="C133" s="116"/>
      <c r="D133" s="143"/>
      <c r="E133" s="116"/>
      <c r="F133" s="116"/>
      <c r="G133" s="144"/>
      <c r="H133" s="112"/>
      <c r="I133" s="43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5"/>
      <c r="Y133" s="145"/>
      <c r="Z133" s="116"/>
      <c r="AA133" s="112"/>
      <c r="AB133" s="65">
        <f t="shared" ref="AB133" si="2528">ROUNDDOWN(AB132*10%,-1)</f>
        <v>0</v>
      </c>
      <c r="AC133" s="66">
        <f t="shared" ref="AC133" ca="1" si="2529">IFERROR(IF(AND( OR(COUNTIF(I132:X133, "&gt;0")&gt;=$AJ$1, AA132&gt;=$AJ$4),AN132&lt;60,AA132&lt;=$AH$5),ROUNDDOWN(ROUNDDOWN(AA132,-3)*$AH$4%,-1),IF(AND(COUNTIF(I132:X133,"&gt;0")&gt;=$AJ$1,AN132&lt;60,AA132&gt;$AH$5),$AJ$5,0)),0)</f>
        <v>0</v>
      </c>
      <c r="AD133" s="67">
        <f t="shared" ref="AD133" si="2530">IF(Z132&gt;=$AJ$1,ROUNDDOWN(AD132*$AH$3%/($AH$2*2%),-1),0)</f>
        <v>0</v>
      </c>
      <c r="AE133" s="112"/>
      <c r="AF133" s="112"/>
      <c r="AG133" s="116"/>
      <c r="AH133" s="116"/>
      <c r="AI133" s="116"/>
      <c r="AJ133" s="116"/>
      <c r="AK133" s="149"/>
      <c r="AL133" s="149"/>
      <c r="AM133" s="115"/>
      <c r="AN133" s="113"/>
      <c r="AO133" s="112"/>
      <c r="AP133" s="15">
        <f t="shared" ref="AP133" si="2531">IF($H132*I133&gt;150000,ROUNDDOWN(($H132*I133-150000)*6%*45%,0),0)</f>
        <v>0</v>
      </c>
      <c r="AQ133" s="16">
        <f t="shared" ref="AQ133" si="2532">IF($H132*J133&gt;150000,ROUNDDOWN(($H132*J133-150000)*6%*45%,0),0)</f>
        <v>0</v>
      </c>
      <c r="AR133" s="16">
        <f t="shared" ref="AR133" si="2533">IF($H132*K133&gt;150000,ROUNDDOWN(($H132*K133-150000)*6%*45%,0),0)</f>
        <v>0</v>
      </c>
      <c r="AS133" s="16">
        <f t="shared" ref="AS133" si="2534">IF($H132*L133&gt;150000,ROUNDDOWN(($H132*L133-150000)*6%*45%,0),0)</f>
        <v>0</v>
      </c>
      <c r="AT133" s="16">
        <f t="shared" ref="AT133" si="2535">IF($H132*M133&gt;150000,ROUNDDOWN(($H132*M133-150000)*6%*45%,0),0)</f>
        <v>0</v>
      </c>
      <c r="AU133" s="16">
        <f t="shared" ref="AU133" si="2536">IF($H132*N133&gt;150000,ROUNDDOWN(($H132*N133-150000)*6%*45%,0),0)</f>
        <v>0</v>
      </c>
      <c r="AV133" s="16">
        <f t="shared" ref="AV133" si="2537">IF($H132*O133&gt;150000,ROUNDDOWN(($H132*O133-150000)*6%*45%,0),0)</f>
        <v>0</v>
      </c>
      <c r="AW133" s="16">
        <f t="shared" ref="AW133" si="2538">IF($H132*P133&gt;150000,ROUNDDOWN(($H132*P133-150000)*6%*45%,0),0)</f>
        <v>0</v>
      </c>
      <c r="AX133" s="16">
        <f t="shared" ref="AX133" si="2539">IF($H132*Q133&gt;150000,ROUNDDOWN(($H132*Q133-150000)*6%*45%,0),0)</f>
        <v>0</v>
      </c>
      <c r="AY133" s="16">
        <f t="shared" ref="AY133" si="2540">IF($H132*R133&gt;150000,ROUNDDOWN(($H132*R133-150000)*6%*45%,0),0)</f>
        <v>0</v>
      </c>
      <c r="AZ133" s="16">
        <f t="shared" ref="AZ133" si="2541">IF($H132*S133&gt;150000,ROUNDDOWN(($H132*S133-150000)*6%*45%,0),0)</f>
        <v>0</v>
      </c>
      <c r="BA133" s="16">
        <f t="shared" ref="BA133" si="2542">IF($H132*T133&gt;150000,ROUNDDOWN(($H132*T133-150000)*6%*45%,0),0)</f>
        <v>0</v>
      </c>
      <c r="BB133" s="16">
        <f t="shared" ref="BB133" si="2543">IF($H132*U133&gt;150000,ROUNDDOWN(($H132*U133-150000)*6%*45%,0),0)</f>
        <v>0</v>
      </c>
      <c r="BC133" s="16">
        <f t="shared" ref="BC133" si="2544">IF($H132*V133&gt;150000,ROUNDDOWN(($H132*V133-150000)*6%*45%,0),0)</f>
        <v>0</v>
      </c>
      <c r="BD133" s="16">
        <f t="shared" ref="BD133" si="2545">IF($H132*W133&gt;150000,ROUNDDOWN(($H132*W133-150000)*6%*45%,0),0)</f>
        <v>0</v>
      </c>
      <c r="BE133" s="17">
        <f t="shared" ref="BE133" si="2546">IF($H132*X133&gt;150000,ROUNDDOWN(($H132*X133-150000)*6%*45%,0),0)</f>
        <v>0</v>
      </c>
      <c r="BF133" s="28"/>
    </row>
    <row r="134" spans="1:58" x14ac:dyDescent="0.3">
      <c r="A134" s="142">
        <v>64</v>
      </c>
      <c r="B134" s="116" t="str">
        <f t="shared" ref="B134" si="2547">IF(LEN(D134)&gt;1,IF(VALUE(MID(RIGHT(D134,7),1,1))&gt;4,"외국인",IF(VALUE(RIGHT(11-MOD((MID(D134,1,1)*2+MID(D134,2,1)*3+MID(D134,3,1)*4+MID(D134,4,1)*5+MID(D134,5,1)*6+MID(D134,6,1)*7+MID(RIGHT(D134,7),1,1)*8+MID(RIGHT(D134,7),2,1)*9+MID(RIGHT(D134,7),3,1)*2+MID(RIGHT(D134,7),4,1)*3+MID(RIGHT(D134,7),5,1)*4+MID(RIGHT(D134,7),6,1)*5),11),1))=VALUE(RIGHT(D134,1)),"","오류")),"")</f>
        <v/>
      </c>
      <c r="C134" s="116"/>
      <c r="D134" s="143"/>
      <c r="E134" s="116"/>
      <c r="F134" s="116"/>
      <c r="G134" s="144"/>
      <c r="H134" s="112"/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40"/>
      <c r="T134" s="40"/>
      <c r="U134" s="39"/>
      <c r="V134" s="39"/>
      <c r="W134" s="41"/>
      <c r="X134" s="42"/>
      <c r="Y134" s="145">
        <f>SUM(I134:X135)</f>
        <v>0</v>
      </c>
      <c r="Z134" s="116">
        <f>COUNTIF(I134:X135,"&gt;0")</f>
        <v>0</v>
      </c>
      <c r="AA134" s="112">
        <f t="shared" ref="AA134" si="2548">H134*Y134</f>
        <v>0</v>
      </c>
      <c r="AB134" s="62">
        <f t="shared" ref="AB134" si="2549">IF(AO134&lt;1000, 0, AO134)</f>
        <v>0</v>
      </c>
      <c r="AC134" s="63">
        <f ca="1">IF(IFERROR($AN134&lt;65,FALSE), IF(B134&lt;&gt;"외국인", ROUNDDOWN(AA134*$AH$1%,-1), IF(AND(AM134&lt;&gt;"", ISNUMBER(SEARCH(LEFT(SUBSTITUTE(AM134, "-",""),2), "F2_F5_F6"))), ROUNDDOWN(AA134*$AH$1%,-1), 0)),0)</f>
        <v>0</v>
      </c>
      <c r="AD134" s="64">
        <f t="shared" ref="AD134" si="2550">IF(Z134&gt;=$AJ$1,ROUNDDOWN(AA134*$AH$2%,-1),0)</f>
        <v>0</v>
      </c>
      <c r="AE134" s="112">
        <f t="shared" ref="AE134" ca="1" si="2551">AB134+AC134+AB135+AC135+AD134+AD135</f>
        <v>0</v>
      </c>
      <c r="AF134" s="112">
        <f t="shared" ref="AF134" ca="1" si="2552">AA134-AE134</f>
        <v>0</v>
      </c>
      <c r="AG134" s="116"/>
      <c r="AH134" s="116"/>
      <c r="AI134" s="116"/>
      <c r="AJ134" s="116"/>
      <c r="AK134" s="149"/>
      <c r="AL134" s="149"/>
      <c r="AM134" s="115"/>
      <c r="AN134" s="113" t="str">
        <f t="shared" ref="AN134" ca="1" si="2553">IFERROR(DATEDIF(DATE(IF(ISNUMBER(FIND(MID( SUBSTITUTE(D134, "-",""), 7, 1), "3478")), 2000, 1900)+MID(D134,1,2), MID(D134,3,2), MID(D134,5,2)), TODAY(), "Y"),"")</f>
        <v/>
      </c>
      <c r="AO134" s="112">
        <f>ROUNDDOWN(SUM(AP134:BE135),-1)</f>
        <v>0</v>
      </c>
      <c r="AP134" s="11">
        <f t="shared" ref="AP134" si="2554">IF($H134*I134&gt;150000,ROUNDDOWN(($H134*I134-150000)*6%*45%,0),0)</f>
        <v>0</v>
      </c>
      <c r="AQ134" s="12">
        <f t="shared" ref="AQ134" si="2555">IF($H134*J134&gt;150000,ROUNDDOWN(($H134*J134-150000)*6%*45%,0),0)</f>
        <v>0</v>
      </c>
      <c r="AR134" s="12">
        <f t="shared" ref="AR134" si="2556">IF($H134*K134&gt;150000,ROUNDDOWN(($H134*K134-150000)*6%*45%,0),0)</f>
        <v>0</v>
      </c>
      <c r="AS134" s="12">
        <f t="shared" ref="AS134" si="2557">IF($H134*L134&gt;150000,ROUNDDOWN(($H134*L134-150000)*6%*45%,0),0)</f>
        <v>0</v>
      </c>
      <c r="AT134" s="12">
        <f t="shared" ref="AT134" si="2558">IF($H134*M134&gt;150000,ROUNDDOWN(($H134*M134-150000)*6%*45%,0),0)</f>
        <v>0</v>
      </c>
      <c r="AU134" s="12">
        <f t="shared" ref="AU134" si="2559">IF($H134*N134&gt;150000,ROUNDDOWN(($H134*N134-150000)*6%*45%,0),0)</f>
        <v>0</v>
      </c>
      <c r="AV134" s="12">
        <f t="shared" ref="AV134" si="2560">IF($H134*O134&gt;150000,ROUNDDOWN(($H134*O134-150000)*6%*45%,0),0)</f>
        <v>0</v>
      </c>
      <c r="AW134" s="12">
        <f t="shared" ref="AW134" si="2561">IF($H134*P134&gt;150000,ROUNDDOWN(($H134*P134-150000)*6%*45%,0),0)</f>
        <v>0</v>
      </c>
      <c r="AX134" s="12">
        <f t="shared" ref="AX134" si="2562">IF($H134*Q134&gt;150000,ROUNDDOWN(($H134*Q134-150000)*6%*45%,0),0)</f>
        <v>0</v>
      </c>
      <c r="AY134" s="12">
        <f t="shared" ref="AY134" si="2563">IF($H134*R134&gt;150000,ROUNDDOWN(($H134*R134-150000)*6%*45%,0),0)</f>
        <v>0</v>
      </c>
      <c r="AZ134" s="12">
        <f t="shared" ref="AZ134" si="2564">IF($H134*S134&gt;150000,ROUNDDOWN(($H134*S134-150000)*6%*45%,0),0)</f>
        <v>0</v>
      </c>
      <c r="BA134" s="12">
        <f t="shared" ref="BA134" si="2565">IF($H134*T134&gt;150000,ROUNDDOWN(($H134*T134-150000)*6%*45%,0),0)</f>
        <v>0</v>
      </c>
      <c r="BB134" s="12">
        <f t="shared" ref="BB134" si="2566">IF($H134*U134&gt;150000,ROUNDDOWN(($H134*U134-150000)*6%*45%,0),0)</f>
        <v>0</v>
      </c>
      <c r="BC134" s="12">
        <f t="shared" ref="BC134" si="2567">IF($H134*V134&gt;150000,ROUNDDOWN(($H134*V134-150000)*6%*45%,0),0)</f>
        <v>0</v>
      </c>
      <c r="BD134" s="13">
        <f t="shared" ref="BD134" si="2568">IF($H134*W134&gt;150000,ROUNDDOWN(($H134*W134-150000)*6%*45%,0),0)</f>
        <v>0</v>
      </c>
      <c r="BE134" s="14"/>
    </row>
    <row r="135" spans="1:58" x14ac:dyDescent="0.3">
      <c r="A135" s="142"/>
      <c r="B135" s="116"/>
      <c r="C135" s="116"/>
      <c r="D135" s="143"/>
      <c r="E135" s="116"/>
      <c r="F135" s="116"/>
      <c r="G135" s="144"/>
      <c r="H135" s="112"/>
      <c r="I135" s="43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5"/>
      <c r="Y135" s="145"/>
      <c r="Z135" s="116"/>
      <c r="AA135" s="112"/>
      <c r="AB135" s="65">
        <f t="shared" ref="AB135" si="2569">ROUNDDOWN(AB134*10%,-1)</f>
        <v>0</v>
      </c>
      <c r="AC135" s="66">
        <f t="shared" ref="AC135" ca="1" si="2570">IFERROR(IF(AND( OR(COUNTIF(I134:X135, "&gt;0")&gt;=$AJ$1, AA134&gt;=$AJ$4),AN134&lt;60,AA134&lt;=$AH$5),ROUNDDOWN(ROUNDDOWN(AA134,-3)*$AH$4%,-1),IF(AND(COUNTIF(I134:X135,"&gt;0")&gt;=$AJ$1,AN134&lt;60,AA134&gt;$AH$5),$AJ$5,0)),0)</f>
        <v>0</v>
      </c>
      <c r="AD135" s="67">
        <f t="shared" ref="AD135" si="2571">IF(Z134&gt;=$AJ$1,ROUNDDOWN(AD134*$AH$3%/($AH$2*2%),-1),0)</f>
        <v>0</v>
      </c>
      <c r="AE135" s="112"/>
      <c r="AF135" s="112"/>
      <c r="AG135" s="116"/>
      <c r="AH135" s="116"/>
      <c r="AI135" s="116"/>
      <c r="AJ135" s="116"/>
      <c r="AK135" s="149"/>
      <c r="AL135" s="149"/>
      <c r="AM135" s="115"/>
      <c r="AN135" s="113"/>
      <c r="AO135" s="112"/>
      <c r="AP135" s="15">
        <f t="shared" ref="AP135" si="2572">IF($H134*I135&gt;150000,ROUNDDOWN(($H134*I135-150000)*6%*45%,0),0)</f>
        <v>0</v>
      </c>
      <c r="AQ135" s="16">
        <f t="shared" ref="AQ135" si="2573">IF($H134*J135&gt;150000,ROUNDDOWN(($H134*J135-150000)*6%*45%,0),0)</f>
        <v>0</v>
      </c>
      <c r="AR135" s="16">
        <f t="shared" ref="AR135" si="2574">IF($H134*K135&gt;150000,ROUNDDOWN(($H134*K135-150000)*6%*45%,0),0)</f>
        <v>0</v>
      </c>
      <c r="AS135" s="16">
        <f t="shared" ref="AS135" si="2575">IF($H134*L135&gt;150000,ROUNDDOWN(($H134*L135-150000)*6%*45%,0),0)</f>
        <v>0</v>
      </c>
      <c r="AT135" s="16">
        <f t="shared" ref="AT135" si="2576">IF($H134*M135&gt;150000,ROUNDDOWN(($H134*M135-150000)*6%*45%,0),0)</f>
        <v>0</v>
      </c>
      <c r="AU135" s="16">
        <f t="shared" ref="AU135" si="2577">IF($H134*N135&gt;150000,ROUNDDOWN(($H134*N135-150000)*6%*45%,0),0)</f>
        <v>0</v>
      </c>
      <c r="AV135" s="16">
        <f t="shared" ref="AV135" si="2578">IF($H134*O135&gt;150000,ROUNDDOWN(($H134*O135-150000)*6%*45%,0),0)</f>
        <v>0</v>
      </c>
      <c r="AW135" s="16">
        <f t="shared" ref="AW135" si="2579">IF($H134*P135&gt;150000,ROUNDDOWN(($H134*P135-150000)*6%*45%,0),0)</f>
        <v>0</v>
      </c>
      <c r="AX135" s="16">
        <f t="shared" ref="AX135" si="2580">IF($H134*Q135&gt;150000,ROUNDDOWN(($H134*Q135-150000)*6%*45%,0),0)</f>
        <v>0</v>
      </c>
      <c r="AY135" s="16">
        <f t="shared" ref="AY135" si="2581">IF($H134*R135&gt;150000,ROUNDDOWN(($H134*R135-150000)*6%*45%,0),0)</f>
        <v>0</v>
      </c>
      <c r="AZ135" s="16">
        <f t="shared" ref="AZ135" si="2582">IF($H134*S135&gt;150000,ROUNDDOWN(($H134*S135-150000)*6%*45%,0),0)</f>
        <v>0</v>
      </c>
      <c r="BA135" s="16">
        <f t="shared" ref="BA135" si="2583">IF($H134*T135&gt;150000,ROUNDDOWN(($H134*T135-150000)*6%*45%,0),0)</f>
        <v>0</v>
      </c>
      <c r="BB135" s="16">
        <f t="shared" ref="BB135" si="2584">IF($H134*U135&gt;150000,ROUNDDOWN(($H134*U135-150000)*6%*45%,0),0)</f>
        <v>0</v>
      </c>
      <c r="BC135" s="16">
        <f t="shared" ref="BC135" si="2585">IF($H134*V135&gt;150000,ROUNDDOWN(($H134*V135-150000)*6%*45%,0),0)</f>
        <v>0</v>
      </c>
      <c r="BD135" s="16">
        <f t="shared" ref="BD135" si="2586">IF($H134*W135&gt;150000,ROUNDDOWN(($H134*W135-150000)*6%*45%,0),0)</f>
        <v>0</v>
      </c>
      <c r="BE135" s="17">
        <f t="shared" ref="BE135" si="2587">IF($H134*X135&gt;150000,ROUNDDOWN(($H134*X135-150000)*6%*45%,0),0)</f>
        <v>0</v>
      </c>
      <c r="BF135" s="28"/>
    </row>
    <row r="136" spans="1:58" x14ac:dyDescent="0.3">
      <c r="A136" s="142">
        <v>65</v>
      </c>
      <c r="B136" s="116" t="str">
        <f t="shared" ref="B136" si="2588">IF(LEN(D136)&gt;1,IF(VALUE(MID(RIGHT(D136,7),1,1))&gt;4,"외국인",IF(VALUE(RIGHT(11-MOD((MID(D136,1,1)*2+MID(D136,2,1)*3+MID(D136,3,1)*4+MID(D136,4,1)*5+MID(D136,5,1)*6+MID(D136,6,1)*7+MID(RIGHT(D136,7),1,1)*8+MID(RIGHT(D136,7),2,1)*9+MID(RIGHT(D136,7),3,1)*2+MID(RIGHT(D136,7),4,1)*3+MID(RIGHT(D136,7),5,1)*4+MID(RIGHT(D136,7),6,1)*5),11),1))=VALUE(RIGHT(D136,1)),"","오류")),"")</f>
        <v/>
      </c>
      <c r="C136" s="116"/>
      <c r="D136" s="143"/>
      <c r="E136" s="116"/>
      <c r="F136" s="116"/>
      <c r="G136" s="144"/>
      <c r="H136" s="112"/>
      <c r="I136" s="38"/>
      <c r="J136" s="39"/>
      <c r="K136" s="39"/>
      <c r="L136" s="39"/>
      <c r="M136" s="39"/>
      <c r="N136" s="39"/>
      <c r="O136" s="39"/>
      <c r="P136" s="39"/>
      <c r="Q136" s="39"/>
      <c r="R136" s="39"/>
      <c r="S136" s="40"/>
      <c r="T136" s="40"/>
      <c r="U136" s="39"/>
      <c r="V136" s="39"/>
      <c r="W136" s="41"/>
      <c r="X136" s="42"/>
      <c r="Y136" s="145">
        <f>SUM(I136:X137)</f>
        <v>0</v>
      </c>
      <c r="Z136" s="116">
        <f>COUNTIF(I136:X137,"&gt;0")</f>
        <v>0</v>
      </c>
      <c r="AA136" s="112">
        <f t="shared" ref="AA136" si="2589">H136*Y136</f>
        <v>0</v>
      </c>
      <c r="AB136" s="62">
        <f t="shared" ref="AB136" si="2590">IF(AO136&lt;1000, 0, AO136)</f>
        <v>0</v>
      </c>
      <c r="AC136" s="63">
        <f ca="1">IF(IFERROR($AN136&lt;65,FALSE), IF(B136&lt;&gt;"외국인", ROUNDDOWN(AA136*$AH$1%,-1), IF(AND(AM136&lt;&gt;"", ISNUMBER(SEARCH(LEFT(SUBSTITUTE(AM136, "-",""),2), "F2_F5_F6"))), ROUNDDOWN(AA136*$AH$1%,-1), 0)),0)</f>
        <v>0</v>
      </c>
      <c r="AD136" s="64">
        <f t="shared" ref="AD136" si="2591">IF(Z136&gt;=$AJ$1,ROUNDDOWN(AA136*$AH$2%,-1),0)</f>
        <v>0</v>
      </c>
      <c r="AE136" s="112">
        <f t="shared" ref="AE136" ca="1" si="2592">AB136+AC136+AB137+AC137+AD136+AD137</f>
        <v>0</v>
      </c>
      <c r="AF136" s="112">
        <f t="shared" ref="AF136" ca="1" si="2593">AA136-AE136</f>
        <v>0</v>
      </c>
      <c r="AG136" s="116"/>
      <c r="AH136" s="116"/>
      <c r="AI136" s="116"/>
      <c r="AJ136" s="116"/>
      <c r="AK136" s="149"/>
      <c r="AL136" s="149"/>
      <c r="AM136" s="115"/>
      <c r="AN136" s="113" t="str">
        <f t="shared" ref="AN136" ca="1" si="2594">IFERROR(DATEDIF(DATE(IF(ISNUMBER(FIND(MID( SUBSTITUTE(D136, "-",""), 7, 1), "3478")), 2000, 1900)+MID(D136,1,2), MID(D136,3,2), MID(D136,5,2)), TODAY(), "Y"),"")</f>
        <v/>
      </c>
      <c r="AO136" s="112">
        <f>ROUNDDOWN(SUM(AP136:BE137),-1)</f>
        <v>0</v>
      </c>
      <c r="AP136" s="11">
        <f t="shared" ref="AP136" si="2595">IF($H136*I136&gt;150000,ROUNDDOWN(($H136*I136-150000)*6%*45%,0),0)</f>
        <v>0</v>
      </c>
      <c r="AQ136" s="12">
        <f t="shared" ref="AQ136" si="2596">IF($H136*J136&gt;150000,ROUNDDOWN(($H136*J136-150000)*6%*45%,0),0)</f>
        <v>0</v>
      </c>
      <c r="AR136" s="12">
        <f t="shared" ref="AR136" si="2597">IF($H136*K136&gt;150000,ROUNDDOWN(($H136*K136-150000)*6%*45%,0),0)</f>
        <v>0</v>
      </c>
      <c r="AS136" s="12">
        <f t="shared" ref="AS136" si="2598">IF($H136*L136&gt;150000,ROUNDDOWN(($H136*L136-150000)*6%*45%,0),0)</f>
        <v>0</v>
      </c>
      <c r="AT136" s="12">
        <f t="shared" ref="AT136" si="2599">IF($H136*M136&gt;150000,ROUNDDOWN(($H136*M136-150000)*6%*45%,0),0)</f>
        <v>0</v>
      </c>
      <c r="AU136" s="12">
        <f t="shared" ref="AU136" si="2600">IF($H136*N136&gt;150000,ROUNDDOWN(($H136*N136-150000)*6%*45%,0),0)</f>
        <v>0</v>
      </c>
      <c r="AV136" s="12">
        <f t="shared" ref="AV136" si="2601">IF($H136*O136&gt;150000,ROUNDDOWN(($H136*O136-150000)*6%*45%,0),0)</f>
        <v>0</v>
      </c>
      <c r="AW136" s="12">
        <f t="shared" ref="AW136" si="2602">IF($H136*P136&gt;150000,ROUNDDOWN(($H136*P136-150000)*6%*45%,0),0)</f>
        <v>0</v>
      </c>
      <c r="AX136" s="12">
        <f t="shared" ref="AX136" si="2603">IF($H136*Q136&gt;150000,ROUNDDOWN(($H136*Q136-150000)*6%*45%,0),0)</f>
        <v>0</v>
      </c>
      <c r="AY136" s="12">
        <f t="shared" ref="AY136" si="2604">IF($H136*R136&gt;150000,ROUNDDOWN(($H136*R136-150000)*6%*45%,0),0)</f>
        <v>0</v>
      </c>
      <c r="AZ136" s="12">
        <f t="shared" ref="AZ136" si="2605">IF($H136*S136&gt;150000,ROUNDDOWN(($H136*S136-150000)*6%*45%,0),0)</f>
        <v>0</v>
      </c>
      <c r="BA136" s="12">
        <f t="shared" ref="BA136" si="2606">IF($H136*T136&gt;150000,ROUNDDOWN(($H136*T136-150000)*6%*45%,0),0)</f>
        <v>0</v>
      </c>
      <c r="BB136" s="12">
        <f t="shared" ref="BB136" si="2607">IF($H136*U136&gt;150000,ROUNDDOWN(($H136*U136-150000)*6%*45%,0),0)</f>
        <v>0</v>
      </c>
      <c r="BC136" s="12">
        <f t="shared" ref="BC136" si="2608">IF($H136*V136&gt;150000,ROUNDDOWN(($H136*V136-150000)*6%*45%,0),0)</f>
        <v>0</v>
      </c>
      <c r="BD136" s="13">
        <f t="shared" ref="BD136" si="2609">IF($H136*W136&gt;150000,ROUNDDOWN(($H136*W136-150000)*6%*45%,0),0)</f>
        <v>0</v>
      </c>
      <c r="BE136" s="14"/>
    </row>
    <row r="137" spans="1:58" x14ac:dyDescent="0.3">
      <c r="A137" s="142"/>
      <c r="B137" s="116"/>
      <c r="C137" s="116"/>
      <c r="D137" s="143"/>
      <c r="E137" s="116"/>
      <c r="F137" s="116"/>
      <c r="G137" s="144"/>
      <c r="H137" s="112"/>
      <c r="I137" s="43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5"/>
      <c r="Y137" s="145"/>
      <c r="Z137" s="116"/>
      <c r="AA137" s="112"/>
      <c r="AB137" s="65">
        <f t="shared" ref="AB137" si="2610">ROUNDDOWN(AB136*10%,-1)</f>
        <v>0</v>
      </c>
      <c r="AC137" s="66">
        <f t="shared" ref="AC137" ca="1" si="2611">IFERROR(IF(AND( OR(COUNTIF(I136:X137, "&gt;0")&gt;=$AJ$1, AA136&gt;=$AJ$4),AN136&lt;60,AA136&lt;=$AH$5),ROUNDDOWN(ROUNDDOWN(AA136,-3)*$AH$4%,-1),IF(AND(COUNTIF(I136:X137,"&gt;0")&gt;=$AJ$1,AN136&lt;60,AA136&gt;$AH$5),$AJ$5,0)),0)</f>
        <v>0</v>
      </c>
      <c r="AD137" s="67">
        <f t="shared" ref="AD137" si="2612">IF(Z136&gt;=$AJ$1,ROUNDDOWN(AD136*$AH$3%/($AH$2*2%),-1),0)</f>
        <v>0</v>
      </c>
      <c r="AE137" s="112"/>
      <c r="AF137" s="112"/>
      <c r="AG137" s="116"/>
      <c r="AH137" s="116"/>
      <c r="AI137" s="116"/>
      <c r="AJ137" s="116"/>
      <c r="AK137" s="149"/>
      <c r="AL137" s="149"/>
      <c r="AM137" s="115"/>
      <c r="AN137" s="113"/>
      <c r="AO137" s="112"/>
      <c r="AP137" s="15">
        <f t="shared" ref="AP137" si="2613">IF($H136*I137&gt;150000,ROUNDDOWN(($H136*I137-150000)*6%*45%,0),0)</f>
        <v>0</v>
      </c>
      <c r="AQ137" s="16">
        <f t="shared" ref="AQ137" si="2614">IF($H136*J137&gt;150000,ROUNDDOWN(($H136*J137-150000)*6%*45%,0),0)</f>
        <v>0</v>
      </c>
      <c r="AR137" s="16">
        <f t="shared" ref="AR137" si="2615">IF($H136*K137&gt;150000,ROUNDDOWN(($H136*K137-150000)*6%*45%,0),0)</f>
        <v>0</v>
      </c>
      <c r="AS137" s="16">
        <f t="shared" ref="AS137" si="2616">IF($H136*L137&gt;150000,ROUNDDOWN(($H136*L137-150000)*6%*45%,0),0)</f>
        <v>0</v>
      </c>
      <c r="AT137" s="16">
        <f t="shared" ref="AT137" si="2617">IF($H136*M137&gt;150000,ROUNDDOWN(($H136*M137-150000)*6%*45%,0),0)</f>
        <v>0</v>
      </c>
      <c r="AU137" s="16">
        <f t="shared" ref="AU137" si="2618">IF($H136*N137&gt;150000,ROUNDDOWN(($H136*N137-150000)*6%*45%,0),0)</f>
        <v>0</v>
      </c>
      <c r="AV137" s="16">
        <f t="shared" ref="AV137" si="2619">IF($H136*O137&gt;150000,ROUNDDOWN(($H136*O137-150000)*6%*45%,0),0)</f>
        <v>0</v>
      </c>
      <c r="AW137" s="16">
        <f t="shared" ref="AW137" si="2620">IF($H136*P137&gt;150000,ROUNDDOWN(($H136*P137-150000)*6%*45%,0),0)</f>
        <v>0</v>
      </c>
      <c r="AX137" s="16">
        <f t="shared" ref="AX137" si="2621">IF($H136*Q137&gt;150000,ROUNDDOWN(($H136*Q137-150000)*6%*45%,0),0)</f>
        <v>0</v>
      </c>
      <c r="AY137" s="16">
        <f t="shared" ref="AY137" si="2622">IF($H136*R137&gt;150000,ROUNDDOWN(($H136*R137-150000)*6%*45%,0),0)</f>
        <v>0</v>
      </c>
      <c r="AZ137" s="16">
        <f t="shared" ref="AZ137" si="2623">IF($H136*S137&gt;150000,ROUNDDOWN(($H136*S137-150000)*6%*45%,0),0)</f>
        <v>0</v>
      </c>
      <c r="BA137" s="16">
        <f t="shared" ref="BA137" si="2624">IF($H136*T137&gt;150000,ROUNDDOWN(($H136*T137-150000)*6%*45%,0),0)</f>
        <v>0</v>
      </c>
      <c r="BB137" s="16">
        <f t="shared" ref="BB137" si="2625">IF($H136*U137&gt;150000,ROUNDDOWN(($H136*U137-150000)*6%*45%,0),0)</f>
        <v>0</v>
      </c>
      <c r="BC137" s="16">
        <f t="shared" ref="BC137" si="2626">IF($H136*V137&gt;150000,ROUNDDOWN(($H136*V137-150000)*6%*45%,0),0)</f>
        <v>0</v>
      </c>
      <c r="BD137" s="16">
        <f t="shared" ref="BD137" si="2627">IF($H136*W137&gt;150000,ROUNDDOWN(($H136*W137-150000)*6%*45%,0),0)</f>
        <v>0</v>
      </c>
      <c r="BE137" s="17">
        <f t="shared" ref="BE137" si="2628">IF($H136*X137&gt;150000,ROUNDDOWN(($H136*X137-150000)*6%*45%,0),0)</f>
        <v>0</v>
      </c>
      <c r="BF137" s="28"/>
    </row>
    <row r="138" spans="1:58" x14ac:dyDescent="0.3">
      <c r="A138" s="142">
        <v>66</v>
      </c>
      <c r="B138" s="116" t="str">
        <f t="shared" ref="B138" si="2629">IF(LEN(D138)&gt;1,IF(VALUE(MID(RIGHT(D138,7),1,1))&gt;4,"외국인",IF(VALUE(RIGHT(11-MOD((MID(D138,1,1)*2+MID(D138,2,1)*3+MID(D138,3,1)*4+MID(D138,4,1)*5+MID(D138,5,1)*6+MID(D138,6,1)*7+MID(RIGHT(D138,7),1,1)*8+MID(RIGHT(D138,7),2,1)*9+MID(RIGHT(D138,7),3,1)*2+MID(RIGHT(D138,7),4,1)*3+MID(RIGHT(D138,7),5,1)*4+MID(RIGHT(D138,7),6,1)*5),11),1))=VALUE(RIGHT(D138,1)),"","오류")),"")</f>
        <v/>
      </c>
      <c r="C138" s="116"/>
      <c r="D138" s="143"/>
      <c r="E138" s="116"/>
      <c r="F138" s="116"/>
      <c r="G138" s="144"/>
      <c r="H138" s="112"/>
      <c r="I138" s="38"/>
      <c r="J138" s="39"/>
      <c r="K138" s="39"/>
      <c r="L138" s="39"/>
      <c r="M138" s="39"/>
      <c r="N138" s="39"/>
      <c r="O138" s="39"/>
      <c r="P138" s="39"/>
      <c r="Q138" s="39"/>
      <c r="R138" s="39"/>
      <c r="S138" s="40"/>
      <c r="T138" s="40"/>
      <c r="U138" s="39"/>
      <c r="V138" s="39"/>
      <c r="W138" s="41"/>
      <c r="X138" s="42"/>
      <c r="Y138" s="145">
        <f>SUM(I138:X139)</f>
        <v>0</v>
      </c>
      <c r="Z138" s="116">
        <f>COUNTIF(I138:X139,"&gt;0")</f>
        <v>0</v>
      </c>
      <c r="AA138" s="112">
        <f t="shared" ref="AA138" si="2630">H138*Y138</f>
        <v>0</v>
      </c>
      <c r="AB138" s="62">
        <f t="shared" ref="AB138" si="2631">IF(AO138&lt;1000, 0, AO138)</f>
        <v>0</v>
      </c>
      <c r="AC138" s="63">
        <f ca="1">IF(IFERROR($AN138&lt;65,FALSE), IF(B138&lt;&gt;"외국인", ROUNDDOWN(AA138*$AH$1%,-1), IF(AND(AM138&lt;&gt;"", ISNUMBER(SEARCH(LEFT(SUBSTITUTE(AM138, "-",""),2), "F2_F5_F6"))), ROUNDDOWN(AA138*$AH$1%,-1), 0)),0)</f>
        <v>0</v>
      </c>
      <c r="AD138" s="64">
        <f t="shared" ref="AD138" si="2632">IF(Z138&gt;=$AJ$1,ROUNDDOWN(AA138*$AH$2%,-1),0)</f>
        <v>0</v>
      </c>
      <c r="AE138" s="112">
        <f t="shared" ref="AE138" ca="1" si="2633">AB138+AC138+AB139+AC139+AD138+AD139</f>
        <v>0</v>
      </c>
      <c r="AF138" s="112">
        <f t="shared" ref="AF138" ca="1" si="2634">AA138-AE138</f>
        <v>0</v>
      </c>
      <c r="AG138" s="116"/>
      <c r="AH138" s="116"/>
      <c r="AI138" s="116"/>
      <c r="AJ138" s="116"/>
      <c r="AK138" s="149"/>
      <c r="AL138" s="149"/>
      <c r="AM138" s="115"/>
      <c r="AN138" s="113" t="str">
        <f t="shared" ref="AN138" ca="1" si="2635">IFERROR(DATEDIF(DATE(IF(ISNUMBER(FIND(MID( SUBSTITUTE(D138, "-",""), 7, 1), "3478")), 2000, 1900)+MID(D138,1,2), MID(D138,3,2), MID(D138,5,2)), TODAY(), "Y"),"")</f>
        <v/>
      </c>
      <c r="AO138" s="112">
        <f>ROUNDDOWN(SUM(AP138:BE139),-1)</f>
        <v>0</v>
      </c>
      <c r="AP138" s="11">
        <f t="shared" ref="AP138" si="2636">IF($H138*I138&gt;150000,ROUNDDOWN(($H138*I138-150000)*6%*45%,0),0)</f>
        <v>0</v>
      </c>
      <c r="AQ138" s="12">
        <f t="shared" ref="AQ138" si="2637">IF($H138*J138&gt;150000,ROUNDDOWN(($H138*J138-150000)*6%*45%,0),0)</f>
        <v>0</v>
      </c>
      <c r="AR138" s="12">
        <f t="shared" ref="AR138" si="2638">IF($H138*K138&gt;150000,ROUNDDOWN(($H138*K138-150000)*6%*45%,0),0)</f>
        <v>0</v>
      </c>
      <c r="AS138" s="12">
        <f t="shared" ref="AS138" si="2639">IF($H138*L138&gt;150000,ROUNDDOWN(($H138*L138-150000)*6%*45%,0),0)</f>
        <v>0</v>
      </c>
      <c r="AT138" s="12">
        <f t="shared" ref="AT138" si="2640">IF($H138*M138&gt;150000,ROUNDDOWN(($H138*M138-150000)*6%*45%,0),0)</f>
        <v>0</v>
      </c>
      <c r="AU138" s="12">
        <f t="shared" ref="AU138" si="2641">IF($H138*N138&gt;150000,ROUNDDOWN(($H138*N138-150000)*6%*45%,0),0)</f>
        <v>0</v>
      </c>
      <c r="AV138" s="12">
        <f t="shared" ref="AV138" si="2642">IF($H138*O138&gt;150000,ROUNDDOWN(($H138*O138-150000)*6%*45%,0),0)</f>
        <v>0</v>
      </c>
      <c r="AW138" s="12">
        <f t="shared" ref="AW138" si="2643">IF($H138*P138&gt;150000,ROUNDDOWN(($H138*P138-150000)*6%*45%,0),0)</f>
        <v>0</v>
      </c>
      <c r="AX138" s="12">
        <f t="shared" ref="AX138" si="2644">IF($H138*Q138&gt;150000,ROUNDDOWN(($H138*Q138-150000)*6%*45%,0),0)</f>
        <v>0</v>
      </c>
      <c r="AY138" s="12">
        <f t="shared" ref="AY138" si="2645">IF($H138*R138&gt;150000,ROUNDDOWN(($H138*R138-150000)*6%*45%,0),0)</f>
        <v>0</v>
      </c>
      <c r="AZ138" s="12">
        <f t="shared" ref="AZ138" si="2646">IF($H138*S138&gt;150000,ROUNDDOWN(($H138*S138-150000)*6%*45%,0),0)</f>
        <v>0</v>
      </c>
      <c r="BA138" s="12">
        <f t="shared" ref="BA138" si="2647">IF($H138*T138&gt;150000,ROUNDDOWN(($H138*T138-150000)*6%*45%,0),0)</f>
        <v>0</v>
      </c>
      <c r="BB138" s="12">
        <f t="shared" ref="BB138" si="2648">IF($H138*U138&gt;150000,ROUNDDOWN(($H138*U138-150000)*6%*45%,0),0)</f>
        <v>0</v>
      </c>
      <c r="BC138" s="12">
        <f t="shared" ref="BC138" si="2649">IF($H138*V138&gt;150000,ROUNDDOWN(($H138*V138-150000)*6%*45%,0),0)</f>
        <v>0</v>
      </c>
      <c r="BD138" s="13">
        <f t="shared" ref="BD138" si="2650">IF($H138*W138&gt;150000,ROUNDDOWN(($H138*W138-150000)*6%*45%,0),0)</f>
        <v>0</v>
      </c>
      <c r="BE138" s="14"/>
    </row>
    <row r="139" spans="1:58" x14ac:dyDescent="0.3">
      <c r="A139" s="142"/>
      <c r="B139" s="116"/>
      <c r="C139" s="116"/>
      <c r="D139" s="143"/>
      <c r="E139" s="116"/>
      <c r="F139" s="116"/>
      <c r="G139" s="144"/>
      <c r="H139" s="112"/>
      <c r="I139" s="43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5"/>
      <c r="Y139" s="145"/>
      <c r="Z139" s="116"/>
      <c r="AA139" s="112"/>
      <c r="AB139" s="65">
        <f t="shared" ref="AB139" si="2651">ROUNDDOWN(AB138*10%,-1)</f>
        <v>0</v>
      </c>
      <c r="AC139" s="66">
        <f t="shared" ref="AC139" ca="1" si="2652">IFERROR(IF(AND( OR(COUNTIF(I138:X139, "&gt;0")&gt;=$AJ$1, AA138&gt;=$AJ$4),AN138&lt;60,AA138&lt;=$AH$5),ROUNDDOWN(ROUNDDOWN(AA138,-3)*$AH$4%,-1),IF(AND(COUNTIF(I138:X139,"&gt;0")&gt;=$AJ$1,AN138&lt;60,AA138&gt;$AH$5),$AJ$5,0)),0)</f>
        <v>0</v>
      </c>
      <c r="AD139" s="67">
        <f t="shared" ref="AD139" si="2653">IF(Z138&gt;=$AJ$1,ROUNDDOWN(AD138*$AH$3%/($AH$2*2%),-1),0)</f>
        <v>0</v>
      </c>
      <c r="AE139" s="112"/>
      <c r="AF139" s="112"/>
      <c r="AG139" s="116"/>
      <c r="AH139" s="116"/>
      <c r="AI139" s="116"/>
      <c r="AJ139" s="116"/>
      <c r="AK139" s="149"/>
      <c r="AL139" s="149"/>
      <c r="AM139" s="115"/>
      <c r="AN139" s="113"/>
      <c r="AO139" s="112"/>
      <c r="AP139" s="15">
        <f t="shared" ref="AP139" si="2654">IF($H138*I139&gt;150000,ROUNDDOWN(($H138*I139-150000)*6%*45%,0),0)</f>
        <v>0</v>
      </c>
      <c r="AQ139" s="16">
        <f t="shared" ref="AQ139" si="2655">IF($H138*J139&gt;150000,ROUNDDOWN(($H138*J139-150000)*6%*45%,0),0)</f>
        <v>0</v>
      </c>
      <c r="AR139" s="16">
        <f t="shared" ref="AR139" si="2656">IF($H138*K139&gt;150000,ROUNDDOWN(($H138*K139-150000)*6%*45%,0),0)</f>
        <v>0</v>
      </c>
      <c r="AS139" s="16">
        <f t="shared" ref="AS139" si="2657">IF($H138*L139&gt;150000,ROUNDDOWN(($H138*L139-150000)*6%*45%,0),0)</f>
        <v>0</v>
      </c>
      <c r="AT139" s="16">
        <f t="shared" ref="AT139" si="2658">IF($H138*M139&gt;150000,ROUNDDOWN(($H138*M139-150000)*6%*45%,0),0)</f>
        <v>0</v>
      </c>
      <c r="AU139" s="16">
        <f t="shared" ref="AU139" si="2659">IF($H138*N139&gt;150000,ROUNDDOWN(($H138*N139-150000)*6%*45%,0),0)</f>
        <v>0</v>
      </c>
      <c r="AV139" s="16">
        <f t="shared" ref="AV139" si="2660">IF($H138*O139&gt;150000,ROUNDDOWN(($H138*O139-150000)*6%*45%,0),0)</f>
        <v>0</v>
      </c>
      <c r="AW139" s="16">
        <f t="shared" ref="AW139" si="2661">IF($H138*P139&gt;150000,ROUNDDOWN(($H138*P139-150000)*6%*45%,0),0)</f>
        <v>0</v>
      </c>
      <c r="AX139" s="16">
        <f t="shared" ref="AX139" si="2662">IF($H138*Q139&gt;150000,ROUNDDOWN(($H138*Q139-150000)*6%*45%,0),0)</f>
        <v>0</v>
      </c>
      <c r="AY139" s="16">
        <f t="shared" ref="AY139" si="2663">IF($H138*R139&gt;150000,ROUNDDOWN(($H138*R139-150000)*6%*45%,0),0)</f>
        <v>0</v>
      </c>
      <c r="AZ139" s="16">
        <f t="shared" ref="AZ139" si="2664">IF($H138*S139&gt;150000,ROUNDDOWN(($H138*S139-150000)*6%*45%,0),0)</f>
        <v>0</v>
      </c>
      <c r="BA139" s="16">
        <f t="shared" ref="BA139" si="2665">IF($H138*T139&gt;150000,ROUNDDOWN(($H138*T139-150000)*6%*45%,0),0)</f>
        <v>0</v>
      </c>
      <c r="BB139" s="16">
        <f t="shared" ref="BB139" si="2666">IF($H138*U139&gt;150000,ROUNDDOWN(($H138*U139-150000)*6%*45%,0),0)</f>
        <v>0</v>
      </c>
      <c r="BC139" s="16">
        <f t="shared" ref="BC139" si="2667">IF($H138*V139&gt;150000,ROUNDDOWN(($H138*V139-150000)*6%*45%,0),0)</f>
        <v>0</v>
      </c>
      <c r="BD139" s="16">
        <f t="shared" ref="BD139" si="2668">IF($H138*W139&gt;150000,ROUNDDOWN(($H138*W139-150000)*6%*45%,0),0)</f>
        <v>0</v>
      </c>
      <c r="BE139" s="17">
        <f t="shared" ref="BE139" si="2669">IF($H138*X139&gt;150000,ROUNDDOWN(($H138*X139-150000)*6%*45%,0),0)</f>
        <v>0</v>
      </c>
      <c r="BF139" s="28"/>
    </row>
    <row r="140" spans="1:58" x14ac:dyDescent="0.3">
      <c r="A140" s="142">
        <v>67</v>
      </c>
      <c r="B140" s="116" t="str">
        <f t="shared" ref="B140" si="2670">IF(LEN(D140)&gt;1,IF(VALUE(MID(RIGHT(D140,7),1,1))&gt;4,"외국인",IF(VALUE(RIGHT(11-MOD((MID(D140,1,1)*2+MID(D140,2,1)*3+MID(D140,3,1)*4+MID(D140,4,1)*5+MID(D140,5,1)*6+MID(D140,6,1)*7+MID(RIGHT(D140,7),1,1)*8+MID(RIGHT(D140,7),2,1)*9+MID(RIGHT(D140,7),3,1)*2+MID(RIGHT(D140,7),4,1)*3+MID(RIGHT(D140,7),5,1)*4+MID(RIGHT(D140,7),6,1)*5),11),1))=VALUE(RIGHT(D140,1)),"","오류")),"")</f>
        <v/>
      </c>
      <c r="C140" s="116"/>
      <c r="D140" s="143"/>
      <c r="E140" s="116"/>
      <c r="F140" s="116"/>
      <c r="G140" s="144"/>
      <c r="H140" s="112"/>
      <c r="I140" s="38"/>
      <c r="J140" s="39"/>
      <c r="K140" s="39"/>
      <c r="L140" s="39"/>
      <c r="M140" s="39"/>
      <c r="N140" s="39"/>
      <c r="O140" s="39"/>
      <c r="P140" s="39"/>
      <c r="Q140" s="39"/>
      <c r="R140" s="39"/>
      <c r="S140" s="40"/>
      <c r="T140" s="40"/>
      <c r="U140" s="39"/>
      <c r="V140" s="39"/>
      <c r="W140" s="41"/>
      <c r="X140" s="42"/>
      <c r="Y140" s="145">
        <f>SUM(I140:X141)</f>
        <v>0</v>
      </c>
      <c r="Z140" s="116">
        <f>COUNTIF(I140:X141,"&gt;0")</f>
        <v>0</v>
      </c>
      <c r="AA140" s="112">
        <f t="shared" ref="AA140" si="2671">H140*Y140</f>
        <v>0</v>
      </c>
      <c r="AB140" s="62">
        <f t="shared" ref="AB140" si="2672">IF(AO140&lt;1000, 0, AO140)</f>
        <v>0</v>
      </c>
      <c r="AC140" s="63">
        <f ca="1">IF(IFERROR($AN140&lt;65,FALSE), IF(B140&lt;&gt;"외국인", ROUNDDOWN(AA140*$AH$1%,-1), IF(AND(AM140&lt;&gt;"", ISNUMBER(SEARCH(LEFT(SUBSTITUTE(AM140, "-",""),2), "F2_F5_F6"))), ROUNDDOWN(AA140*$AH$1%,-1), 0)),0)</f>
        <v>0</v>
      </c>
      <c r="AD140" s="64">
        <f t="shared" ref="AD140" si="2673">IF(Z140&gt;=$AJ$1,ROUNDDOWN(AA140*$AH$2%,-1),0)</f>
        <v>0</v>
      </c>
      <c r="AE140" s="112">
        <f t="shared" ref="AE140" ca="1" si="2674">AB140+AC140+AB141+AC141+AD140+AD141</f>
        <v>0</v>
      </c>
      <c r="AF140" s="112">
        <f t="shared" ref="AF140" ca="1" si="2675">AA140-AE140</f>
        <v>0</v>
      </c>
      <c r="AG140" s="116"/>
      <c r="AH140" s="116"/>
      <c r="AI140" s="116"/>
      <c r="AJ140" s="116"/>
      <c r="AK140" s="149"/>
      <c r="AL140" s="149"/>
      <c r="AM140" s="115"/>
      <c r="AN140" s="113" t="str">
        <f t="shared" ref="AN140" ca="1" si="2676">IFERROR(DATEDIF(DATE(IF(ISNUMBER(FIND(MID( SUBSTITUTE(D140, "-",""), 7, 1), "3478")), 2000, 1900)+MID(D140,1,2), MID(D140,3,2), MID(D140,5,2)), TODAY(), "Y"),"")</f>
        <v/>
      </c>
      <c r="AO140" s="112">
        <f>ROUNDDOWN(SUM(AP140:BE141),-1)</f>
        <v>0</v>
      </c>
      <c r="AP140" s="11">
        <f t="shared" ref="AP140" si="2677">IF($H140*I140&gt;150000,ROUNDDOWN(($H140*I140-150000)*6%*45%,0),0)</f>
        <v>0</v>
      </c>
      <c r="AQ140" s="12">
        <f t="shared" ref="AQ140" si="2678">IF($H140*J140&gt;150000,ROUNDDOWN(($H140*J140-150000)*6%*45%,0),0)</f>
        <v>0</v>
      </c>
      <c r="AR140" s="12">
        <f t="shared" ref="AR140" si="2679">IF($H140*K140&gt;150000,ROUNDDOWN(($H140*K140-150000)*6%*45%,0),0)</f>
        <v>0</v>
      </c>
      <c r="AS140" s="12">
        <f t="shared" ref="AS140" si="2680">IF($H140*L140&gt;150000,ROUNDDOWN(($H140*L140-150000)*6%*45%,0),0)</f>
        <v>0</v>
      </c>
      <c r="AT140" s="12">
        <f t="shared" ref="AT140" si="2681">IF($H140*M140&gt;150000,ROUNDDOWN(($H140*M140-150000)*6%*45%,0),0)</f>
        <v>0</v>
      </c>
      <c r="AU140" s="12">
        <f t="shared" ref="AU140" si="2682">IF($H140*N140&gt;150000,ROUNDDOWN(($H140*N140-150000)*6%*45%,0),0)</f>
        <v>0</v>
      </c>
      <c r="AV140" s="12">
        <f t="shared" ref="AV140" si="2683">IF($H140*O140&gt;150000,ROUNDDOWN(($H140*O140-150000)*6%*45%,0),0)</f>
        <v>0</v>
      </c>
      <c r="AW140" s="12">
        <f t="shared" ref="AW140" si="2684">IF($H140*P140&gt;150000,ROUNDDOWN(($H140*P140-150000)*6%*45%,0),0)</f>
        <v>0</v>
      </c>
      <c r="AX140" s="12">
        <f t="shared" ref="AX140" si="2685">IF($H140*Q140&gt;150000,ROUNDDOWN(($H140*Q140-150000)*6%*45%,0),0)</f>
        <v>0</v>
      </c>
      <c r="AY140" s="12">
        <f t="shared" ref="AY140" si="2686">IF($H140*R140&gt;150000,ROUNDDOWN(($H140*R140-150000)*6%*45%,0),0)</f>
        <v>0</v>
      </c>
      <c r="AZ140" s="12">
        <f t="shared" ref="AZ140" si="2687">IF($H140*S140&gt;150000,ROUNDDOWN(($H140*S140-150000)*6%*45%,0),0)</f>
        <v>0</v>
      </c>
      <c r="BA140" s="12">
        <f t="shared" ref="BA140" si="2688">IF($H140*T140&gt;150000,ROUNDDOWN(($H140*T140-150000)*6%*45%,0),0)</f>
        <v>0</v>
      </c>
      <c r="BB140" s="12">
        <f t="shared" ref="BB140" si="2689">IF($H140*U140&gt;150000,ROUNDDOWN(($H140*U140-150000)*6%*45%,0),0)</f>
        <v>0</v>
      </c>
      <c r="BC140" s="12">
        <f t="shared" ref="BC140" si="2690">IF($H140*V140&gt;150000,ROUNDDOWN(($H140*V140-150000)*6%*45%,0),0)</f>
        <v>0</v>
      </c>
      <c r="BD140" s="13">
        <f t="shared" ref="BD140" si="2691">IF($H140*W140&gt;150000,ROUNDDOWN(($H140*W140-150000)*6%*45%,0),0)</f>
        <v>0</v>
      </c>
      <c r="BE140" s="14"/>
    </row>
    <row r="141" spans="1:58" x14ac:dyDescent="0.3">
      <c r="A141" s="142"/>
      <c r="B141" s="116"/>
      <c r="C141" s="116"/>
      <c r="D141" s="143"/>
      <c r="E141" s="116"/>
      <c r="F141" s="116"/>
      <c r="G141" s="144"/>
      <c r="H141" s="112"/>
      <c r="I141" s="43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5"/>
      <c r="Y141" s="145"/>
      <c r="Z141" s="116"/>
      <c r="AA141" s="112"/>
      <c r="AB141" s="65">
        <f t="shared" ref="AB141" si="2692">ROUNDDOWN(AB140*10%,-1)</f>
        <v>0</v>
      </c>
      <c r="AC141" s="66">
        <f t="shared" ref="AC141" ca="1" si="2693">IFERROR(IF(AND( OR(COUNTIF(I140:X141, "&gt;0")&gt;=$AJ$1, AA140&gt;=$AJ$4),AN140&lt;60,AA140&lt;=$AH$5),ROUNDDOWN(ROUNDDOWN(AA140,-3)*$AH$4%,-1),IF(AND(COUNTIF(I140:X141,"&gt;0")&gt;=$AJ$1,AN140&lt;60,AA140&gt;$AH$5),$AJ$5,0)),0)</f>
        <v>0</v>
      </c>
      <c r="AD141" s="67">
        <f t="shared" ref="AD141" si="2694">IF(Z140&gt;=$AJ$1,ROUNDDOWN(AD140*$AH$3%/($AH$2*2%),-1),0)</f>
        <v>0</v>
      </c>
      <c r="AE141" s="112"/>
      <c r="AF141" s="112"/>
      <c r="AG141" s="116"/>
      <c r="AH141" s="116"/>
      <c r="AI141" s="116"/>
      <c r="AJ141" s="116"/>
      <c r="AK141" s="149"/>
      <c r="AL141" s="149"/>
      <c r="AM141" s="115"/>
      <c r="AN141" s="113"/>
      <c r="AO141" s="112"/>
      <c r="AP141" s="15">
        <f t="shared" ref="AP141" si="2695">IF($H140*I141&gt;150000,ROUNDDOWN(($H140*I141-150000)*6%*45%,0),0)</f>
        <v>0</v>
      </c>
      <c r="AQ141" s="16">
        <f t="shared" ref="AQ141" si="2696">IF($H140*J141&gt;150000,ROUNDDOWN(($H140*J141-150000)*6%*45%,0),0)</f>
        <v>0</v>
      </c>
      <c r="AR141" s="16">
        <f t="shared" ref="AR141" si="2697">IF($H140*K141&gt;150000,ROUNDDOWN(($H140*K141-150000)*6%*45%,0),0)</f>
        <v>0</v>
      </c>
      <c r="AS141" s="16">
        <f t="shared" ref="AS141" si="2698">IF($H140*L141&gt;150000,ROUNDDOWN(($H140*L141-150000)*6%*45%,0),0)</f>
        <v>0</v>
      </c>
      <c r="AT141" s="16">
        <f t="shared" ref="AT141" si="2699">IF($H140*M141&gt;150000,ROUNDDOWN(($H140*M141-150000)*6%*45%,0),0)</f>
        <v>0</v>
      </c>
      <c r="AU141" s="16">
        <f t="shared" ref="AU141" si="2700">IF($H140*N141&gt;150000,ROUNDDOWN(($H140*N141-150000)*6%*45%,0),0)</f>
        <v>0</v>
      </c>
      <c r="AV141" s="16">
        <f t="shared" ref="AV141" si="2701">IF($H140*O141&gt;150000,ROUNDDOWN(($H140*O141-150000)*6%*45%,0),0)</f>
        <v>0</v>
      </c>
      <c r="AW141" s="16">
        <f t="shared" ref="AW141" si="2702">IF($H140*P141&gt;150000,ROUNDDOWN(($H140*P141-150000)*6%*45%,0),0)</f>
        <v>0</v>
      </c>
      <c r="AX141" s="16">
        <f t="shared" ref="AX141" si="2703">IF($H140*Q141&gt;150000,ROUNDDOWN(($H140*Q141-150000)*6%*45%,0),0)</f>
        <v>0</v>
      </c>
      <c r="AY141" s="16">
        <f t="shared" ref="AY141" si="2704">IF($H140*R141&gt;150000,ROUNDDOWN(($H140*R141-150000)*6%*45%,0),0)</f>
        <v>0</v>
      </c>
      <c r="AZ141" s="16">
        <f t="shared" ref="AZ141" si="2705">IF($H140*S141&gt;150000,ROUNDDOWN(($H140*S141-150000)*6%*45%,0),0)</f>
        <v>0</v>
      </c>
      <c r="BA141" s="16">
        <f t="shared" ref="BA141" si="2706">IF($H140*T141&gt;150000,ROUNDDOWN(($H140*T141-150000)*6%*45%,0),0)</f>
        <v>0</v>
      </c>
      <c r="BB141" s="16">
        <f t="shared" ref="BB141" si="2707">IF($H140*U141&gt;150000,ROUNDDOWN(($H140*U141-150000)*6%*45%,0),0)</f>
        <v>0</v>
      </c>
      <c r="BC141" s="16">
        <f t="shared" ref="BC141" si="2708">IF($H140*V141&gt;150000,ROUNDDOWN(($H140*V141-150000)*6%*45%,0),0)</f>
        <v>0</v>
      </c>
      <c r="BD141" s="16">
        <f t="shared" ref="BD141" si="2709">IF($H140*W141&gt;150000,ROUNDDOWN(($H140*W141-150000)*6%*45%,0),0)</f>
        <v>0</v>
      </c>
      <c r="BE141" s="17">
        <f t="shared" ref="BE141" si="2710">IF($H140*X141&gt;150000,ROUNDDOWN(($H140*X141-150000)*6%*45%,0),0)</f>
        <v>0</v>
      </c>
      <c r="BF141" s="28"/>
    </row>
    <row r="142" spans="1:58" x14ac:dyDescent="0.3">
      <c r="A142" s="142">
        <v>68</v>
      </c>
      <c r="B142" s="116" t="str">
        <f t="shared" ref="B142" si="2711">IF(LEN(D142)&gt;1,IF(VALUE(MID(RIGHT(D142,7),1,1))&gt;4,"외국인",IF(VALUE(RIGHT(11-MOD((MID(D142,1,1)*2+MID(D142,2,1)*3+MID(D142,3,1)*4+MID(D142,4,1)*5+MID(D142,5,1)*6+MID(D142,6,1)*7+MID(RIGHT(D142,7),1,1)*8+MID(RIGHT(D142,7),2,1)*9+MID(RIGHT(D142,7),3,1)*2+MID(RIGHT(D142,7),4,1)*3+MID(RIGHT(D142,7),5,1)*4+MID(RIGHT(D142,7),6,1)*5),11),1))=VALUE(RIGHT(D142,1)),"","오류")),"")</f>
        <v/>
      </c>
      <c r="C142" s="116"/>
      <c r="D142" s="143"/>
      <c r="E142" s="116"/>
      <c r="F142" s="116"/>
      <c r="G142" s="144"/>
      <c r="H142" s="112"/>
      <c r="I142" s="38"/>
      <c r="J142" s="39"/>
      <c r="K142" s="39"/>
      <c r="L142" s="39"/>
      <c r="M142" s="39"/>
      <c r="N142" s="39"/>
      <c r="O142" s="39"/>
      <c r="P142" s="39"/>
      <c r="Q142" s="39"/>
      <c r="R142" s="39"/>
      <c r="S142" s="40"/>
      <c r="T142" s="40"/>
      <c r="U142" s="39"/>
      <c r="V142" s="39"/>
      <c r="W142" s="41"/>
      <c r="X142" s="42"/>
      <c r="Y142" s="145">
        <f>SUM(I142:X143)</f>
        <v>0</v>
      </c>
      <c r="Z142" s="116">
        <f>COUNTIF(I142:X143,"&gt;0")</f>
        <v>0</v>
      </c>
      <c r="AA142" s="112">
        <f t="shared" ref="AA142" si="2712">H142*Y142</f>
        <v>0</v>
      </c>
      <c r="AB142" s="62">
        <f t="shared" ref="AB142" si="2713">IF(AO142&lt;1000, 0, AO142)</f>
        <v>0</v>
      </c>
      <c r="AC142" s="63">
        <f ca="1">IF(IFERROR($AN142&lt;65,FALSE), IF(B142&lt;&gt;"외국인", ROUNDDOWN(AA142*$AH$1%,-1), IF(AND(AM142&lt;&gt;"", ISNUMBER(SEARCH(LEFT(SUBSTITUTE(AM142, "-",""),2), "F2_F5_F6"))), ROUNDDOWN(AA142*$AH$1%,-1), 0)),0)</f>
        <v>0</v>
      </c>
      <c r="AD142" s="64">
        <f t="shared" ref="AD142" si="2714">IF(Z142&gt;=$AJ$1,ROUNDDOWN(AA142*$AH$2%,-1),0)</f>
        <v>0</v>
      </c>
      <c r="AE142" s="112">
        <f t="shared" ref="AE142" ca="1" si="2715">AB142+AC142+AB143+AC143+AD142+AD143</f>
        <v>0</v>
      </c>
      <c r="AF142" s="112">
        <f t="shared" ref="AF142" ca="1" si="2716">AA142-AE142</f>
        <v>0</v>
      </c>
      <c r="AG142" s="116"/>
      <c r="AH142" s="116"/>
      <c r="AI142" s="116"/>
      <c r="AJ142" s="116"/>
      <c r="AK142" s="149"/>
      <c r="AL142" s="149"/>
      <c r="AM142" s="115"/>
      <c r="AN142" s="113" t="str">
        <f t="shared" ref="AN142" ca="1" si="2717">IFERROR(DATEDIF(DATE(IF(ISNUMBER(FIND(MID( SUBSTITUTE(D142, "-",""), 7, 1), "3478")), 2000, 1900)+MID(D142,1,2), MID(D142,3,2), MID(D142,5,2)), TODAY(), "Y"),"")</f>
        <v/>
      </c>
      <c r="AO142" s="112">
        <f>ROUNDDOWN(SUM(AP142:BE143),-1)</f>
        <v>0</v>
      </c>
      <c r="AP142" s="11">
        <f t="shared" ref="AP142" si="2718">IF($H142*I142&gt;150000,ROUNDDOWN(($H142*I142-150000)*6%*45%,0),0)</f>
        <v>0</v>
      </c>
      <c r="AQ142" s="12">
        <f t="shared" ref="AQ142" si="2719">IF($H142*J142&gt;150000,ROUNDDOWN(($H142*J142-150000)*6%*45%,0),0)</f>
        <v>0</v>
      </c>
      <c r="AR142" s="12">
        <f t="shared" ref="AR142" si="2720">IF($H142*K142&gt;150000,ROUNDDOWN(($H142*K142-150000)*6%*45%,0),0)</f>
        <v>0</v>
      </c>
      <c r="AS142" s="12">
        <f t="shared" ref="AS142" si="2721">IF($H142*L142&gt;150000,ROUNDDOWN(($H142*L142-150000)*6%*45%,0),0)</f>
        <v>0</v>
      </c>
      <c r="AT142" s="12">
        <f t="shared" ref="AT142" si="2722">IF($H142*M142&gt;150000,ROUNDDOWN(($H142*M142-150000)*6%*45%,0),0)</f>
        <v>0</v>
      </c>
      <c r="AU142" s="12">
        <f t="shared" ref="AU142" si="2723">IF($H142*N142&gt;150000,ROUNDDOWN(($H142*N142-150000)*6%*45%,0),0)</f>
        <v>0</v>
      </c>
      <c r="AV142" s="12">
        <f t="shared" ref="AV142" si="2724">IF($H142*O142&gt;150000,ROUNDDOWN(($H142*O142-150000)*6%*45%,0),0)</f>
        <v>0</v>
      </c>
      <c r="AW142" s="12">
        <f t="shared" ref="AW142" si="2725">IF($H142*P142&gt;150000,ROUNDDOWN(($H142*P142-150000)*6%*45%,0),0)</f>
        <v>0</v>
      </c>
      <c r="AX142" s="12">
        <f t="shared" ref="AX142" si="2726">IF($H142*Q142&gt;150000,ROUNDDOWN(($H142*Q142-150000)*6%*45%,0),0)</f>
        <v>0</v>
      </c>
      <c r="AY142" s="12">
        <f t="shared" ref="AY142" si="2727">IF($H142*R142&gt;150000,ROUNDDOWN(($H142*R142-150000)*6%*45%,0),0)</f>
        <v>0</v>
      </c>
      <c r="AZ142" s="12">
        <f t="shared" ref="AZ142" si="2728">IF($H142*S142&gt;150000,ROUNDDOWN(($H142*S142-150000)*6%*45%,0),0)</f>
        <v>0</v>
      </c>
      <c r="BA142" s="12">
        <f t="shared" ref="BA142" si="2729">IF($H142*T142&gt;150000,ROUNDDOWN(($H142*T142-150000)*6%*45%,0),0)</f>
        <v>0</v>
      </c>
      <c r="BB142" s="12">
        <f t="shared" ref="BB142" si="2730">IF($H142*U142&gt;150000,ROUNDDOWN(($H142*U142-150000)*6%*45%,0),0)</f>
        <v>0</v>
      </c>
      <c r="BC142" s="12">
        <f t="shared" ref="BC142" si="2731">IF($H142*V142&gt;150000,ROUNDDOWN(($H142*V142-150000)*6%*45%,0),0)</f>
        <v>0</v>
      </c>
      <c r="BD142" s="13">
        <f t="shared" ref="BD142" si="2732">IF($H142*W142&gt;150000,ROUNDDOWN(($H142*W142-150000)*6%*45%,0),0)</f>
        <v>0</v>
      </c>
      <c r="BE142" s="14"/>
    </row>
    <row r="143" spans="1:58" x14ac:dyDescent="0.3">
      <c r="A143" s="142"/>
      <c r="B143" s="116"/>
      <c r="C143" s="116"/>
      <c r="D143" s="143"/>
      <c r="E143" s="116"/>
      <c r="F143" s="116"/>
      <c r="G143" s="144"/>
      <c r="H143" s="112"/>
      <c r="I143" s="43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5"/>
      <c r="Y143" s="145"/>
      <c r="Z143" s="116"/>
      <c r="AA143" s="112"/>
      <c r="AB143" s="65">
        <f t="shared" ref="AB143" si="2733">ROUNDDOWN(AB142*10%,-1)</f>
        <v>0</v>
      </c>
      <c r="AC143" s="66">
        <f t="shared" ref="AC143" ca="1" si="2734">IFERROR(IF(AND( OR(COUNTIF(I142:X143, "&gt;0")&gt;=$AJ$1, AA142&gt;=$AJ$4),AN142&lt;60,AA142&lt;=$AH$5),ROUNDDOWN(ROUNDDOWN(AA142,-3)*$AH$4%,-1),IF(AND(COUNTIF(I142:X143,"&gt;0")&gt;=$AJ$1,AN142&lt;60,AA142&gt;$AH$5),$AJ$5,0)),0)</f>
        <v>0</v>
      </c>
      <c r="AD143" s="67">
        <f t="shared" ref="AD143" si="2735">IF(Z142&gt;=$AJ$1,ROUNDDOWN(AD142*$AH$3%/($AH$2*2%),-1),0)</f>
        <v>0</v>
      </c>
      <c r="AE143" s="112"/>
      <c r="AF143" s="112"/>
      <c r="AG143" s="116"/>
      <c r="AH143" s="116"/>
      <c r="AI143" s="116"/>
      <c r="AJ143" s="116"/>
      <c r="AK143" s="149"/>
      <c r="AL143" s="149"/>
      <c r="AM143" s="115"/>
      <c r="AN143" s="113"/>
      <c r="AO143" s="112"/>
      <c r="AP143" s="15">
        <f t="shared" ref="AP143" si="2736">IF($H142*I143&gt;150000,ROUNDDOWN(($H142*I143-150000)*6%*45%,0),0)</f>
        <v>0</v>
      </c>
      <c r="AQ143" s="16">
        <f t="shared" ref="AQ143" si="2737">IF($H142*J143&gt;150000,ROUNDDOWN(($H142*J143-150000)*6%*45%,0),0)</f>
        <v>0</v>
      </c>
      <c r="AR143" s="16">
        <f t="shared" ref="AR143" si="2738">IF($H142*K143&gt;150000,ROUNDDOWN(($H142*K143-150000)*6%*45%,0),0)</f>
        <v>0</v>
      </c>
      <c r="AS143" s="16">
        <f t="shared" ref="AS143" si="2739">IF($H142*L143&gt;150000,ROUNDDOWN(($H142*L143-150000)*6%*45%,0),0)</f>
        <v>0</v>
      </c>
      <c r="AT143" s="16">
        <f t="shared" ref="AT143" si="2740">IF($H142*M143&gt;150000,ROUNDDOWN(($H142*M143-150000)*6%*45%,0),0)</f>
        <v>0</v>
      </c>
      <c r="AU143" s="16">
        <f t="shared" ref="AU143" si="2741">IF($H142*N143&gt;150000,ROUNDDOWN(($H142*N143-150000)*6%*45%,0),0)</f>
        <v>0</v>
      </c>
      <c r="AV143" s="16">
        <f t="shared" ref="AV143" si="2742">IF($H142*O143&gt;150000,ROUNDDOWN(($H142*O143-150000)*6%*45%,0),0)</f>
        <v>0</v>
      </c>
      <c r="AW143" s="16">
        <f t="shared" ref="AW143" si="2743">IF($H142*P143&gt;150000,ROUNDDOWN(($H142*P143-150000)*6%*45%,0),0)</f>
        <v>0</v>
      </c>
      <c r="AX143" s="16">
        <f t="shared" ref="AX143" si="2744">IF($H142*Q143&gt;150000,ROUNDDOWN(($H142*Q143-150000)*6%*45%,0),0)</f>
        <v>0</v>
      </c>
      <c r="AY143" s="16">
        <f t="shared" ref="AY143" si="2745">IF($H142*R143&gt;150000,ROUNDDOWN(($H142*R143-150000)*6%*45%,0),0)</f>
        <v>0</v>
      </c>
      <c r="AZ143" s="16">
        <f t="shared" ref="AZ143" si="2746">IF($H142*S143&gt;150000,ROUNDDOWN(($H142*S143-150000)*6%*45%,0),0)</f>
        <v>0</v>
      </c>
      <c r="BA143" s="16">
        <f t="shared" ref="BA143" si="2747">IF($H142*T143&gt;150000,ROUNDDOWN(($H142*T143-150000)*6%*45%,0),0)</f>
        <v>0</v>
      </c>
      <c r="BB143" s="16">
        <f t="shared" ref="BB143" si="2748">IF($H142*U143&gt;150000,ROUNDDOWN(($H142*U143-150000)*6%*45%,0),0)</f>
        <v>0</v>
      </c>
      <c r="BC143" s="16">
        <f t="shared" ref="BC143" si="2749">IF($H142*V143&gt;150000,ROUNDDOWN(($H142*V143-150000)*6%*45%,0),0)</f>
        <v>0</v>
      </c>
      <c r="BD143" s="16">
        <f t="shared" ref="BD143" si="2750">IF($H142*W143&gt;150000,ROUNDDOWN(($H142*W143-150000)*6%*45%,0),0)</f>
        <v>0</v>
      </c>
      <c r="BE143" s="17">
        <f t="shared" ref="BE143" si="2751">IF($H142*X143&gt;150000,ROUNDDOWN(($H142*X143-150000)*6%*45%,0),0)</f>
        <v>0</v>
      </c>
      <c r="BF143" s="28"/>
    </row>
    <row r="144" spans="1:58" x14ac:dyDescent="0.3">
      <c r="A144" s="142">
        <v>69</v>
      </c>
      <c r="B144" s="116" t="str">
        <f t="shared" ref="B144" si="2752">IF(LEN(D144)&gt;1,IF(VALUE(MID(RIGHT(D144,7),1,1))&gt;4,"외국인",IF(VALUE(RIGHT(11-MOD((MID(D144,1,1)*2+MID(D144,2,1)*3+MID(D144,3,1)*4+MID(D144,4,1)*5+MID(D144,5,1)*6+MID(D144,6,1)*7+MID(RIGHT(D144,7),1,1)*8+MID(RIGHT(D144,7),2,1)*9+MID(RIGHT(D144,7),3,1)*2+MID(RIGHT(D144,7),4,1)*3+MID(RIGHT(D144,7),5,1)*4+MID(RIGHT(D144,7),6,1)*5),11),1))=VALUE(RIGHT(D144,1)),"","오류")),"")</f>
        <v/>
      </c>
      <c r="C144" s="116"/>
      <c r="D144" s="143"/>
      <c r="E144" s="116"/>
      <c r="F144" s="116"/>
      <c r="G144" s="144"/>
      <c r="H144" s="112"/>
      <c r="I144" s="38"/>
      <c r="J144" s="39"/>
      <c r="K144" s="39"/>
      <c r="L144" s="39"/>
      <c r="M144" s="39"/>
      <c r="N144" s="39"/>
      <c r="O144" s="39"/>
      <c r="P144" s="39"/>
      <c r="Q144" s="39"/>
      <c r="R144" s="39"/>
      <c r="S144" s="40"/>
      <c r="T144" s="40"/>
      <c r="U144" s="39"/>
      <c r="V144" s="39"/>
      <c r="W144" s="41"/>
      <c r="X144" s="42"/>
      <c r="Y144" s="145">
        <f>SUM(I144:X145)</f>
        <v>0</v>
      </c>
      <c r="Z144" s="116">
        <f>COUNTIF(I144:X145,"&gt;0")</f>
        <v>0</v>
      </c>
      <c r="AA144" s="112">
        <f t="shared" ref="AA144" si="2753">H144*Y144</f>
        <v>0</v>
      </c>
      <c r="AB144" s="62">
        <f t="shared" ref="AB144" si="2754">IF(AO144&lt;1000, 0, AO144)</f>
        <v>0</v>
      </c>
      <c r="AC144" s="63">
        <f ca="1">IF(IFERROR($AN144&lt;65,FALSE), IF(B144&lt;&gt;"외국인", ROUNDDOWN(AA144*$AH$1%,-1), IF(AND(AM144&lt;&gt;"", ISNUMBER(SEARCH(LEFT(SUBSTITUTE(AM144, "-",""),2), "F2_F5_F6"))), ROUNDDOWN(AA144*$AH$1%,-1), 0)),0)</f>
        <v>0</v>
      </c>
      <c r="AD144" s="64">
        <f t="shared" ref="AD144" si="2755">IF(Z144&gt;=$AJ$1,ROUNDDOWN(AA144*$AH$2%,-1),0)</f>
        <v>0</v>
      </c>
      <c r="AE144" s="112">
        <f t="shared" ref="AE144" ca="1" si="2756">AB144+AC144+AB145+AC145+AD144+AD145</f>
        <v>0</v>
      </c>
      <c r="AF144" s="112">
        <f t="shared" ref="AF144" ca="1" si="2757">AA144-AE144</f>
        <v>0</v>
      </c>
      <c r="AG144" s="116"/>
      <c r="AH144" s="116"/>
      <c r="AI144" s="116"/>
      <c r="AJ144" s="116"/>
      <c r="AK144" s="149"/>
      <c r="AL144" s="149"/>
      <c r="AM144" s="115"/>
      <c r="AN144" s="113" t="str">
        <f t="shared" ref="AN144" ca="1" si="2758">IFERROR(DATEDIF(DATE(IF(ISNUMBER(FIND(MID( SUBSTITUTE(D144, "-",""), 7, 1), "3478")), 2000, 1900)+MID(D144,1,2), MID(D144,3,2), MID(D144,5,2)), TODAY(), "Y"),"")</f>
        <v/>
      </c>
      <c r="AO144" s="112">
        <f>ROUNDDOWN(SUM(AP144:BE145),-1)</f>
        <v>0</v>
      </c>
      <c r="AP144" s="11">
        <f t="shared" ref="AP144" si="2759">IF($H144*I144&gt;150000,ROUNDDOWN(($H144*I144-150000)*6%*45%,0),0)</f>
        <v>0</v>
      </c>
      <c r="AQ144" s="12">
        <f t="shared" ref="AQ144" si="2760">IF($H144*J144&gt;150000,ROUNDDOWN(($H144*J144-150000)*6%*45%,0),0)</f>
        <v>0</v>
      </c>
      <c r="AR144" s="12">
        <f t="shared" ref="AR144" si="2761">IF($H144*K144&gt;150000,ROUNDDOWN(($H144*K144-150000)*6%*45%,0),0)</f>
        <v>0</v>
      </c>
      <c r="AS144" s="12">
        <f t="shared" ref="AS144" si="2762">IF($H144*L144&gt;150000,ROUNDDOWN(($H144*L144-150000)*6%*45%,0),0)</f>
        <v>0</v>
      </c>
      <c r="AT144" s="12">
        <f t="shared" ref="AT144" si="2763">IF($H144*M144&gt;150000,ROUNDDOWN(($H144*M144-150000)*6%*45%,0),0)</f>
        <v>0</v>
      </c>
      <c r="AU144" s="12">
        <f t="shared" ref="AU144" si="2764">IF($H144*N144&gt;150000,ROUNDDOWN(($H144*N144-150000)*6%*45%,0),0)</f>
        <v>0</v>
      </c>
      <c r="AV144" s="12">
        <f t="shared" ref="AV144" si="2765">IF($H144*O144&gt;150000,ROUNDDOWN(($H144*O144-150000)*6%*45%,0),0)</f>
        <v>0</v>
      </c>
      <c r="AW144" s="12">
        <f t="shared" ref="AW144" si="2766">IF($H144*P144&gt;150000,ROUNDDOWN(($H144*P144-150000)*6%*45%,0),0)</f>
        <v>0</v>
      </c>
      <c r="AX144" s="12">
        <f t="shared" ref="AX144" si="2767">IF($H144*Q144&gt;150000,ROUNDDOWN(($H144*Q144-150000)*6%*45%,0),0)</f>
        <v>0</v>
      </c>
      <c r="AY144" s="12">
        <f t="shared" ref="AY144" si="2768">IF($H144*R144&gt;150000,ROUNDDOWN(($H144*R144-150000)*6%*45%,0),0)</f>
        <v>0</v>
      </c>
      <c r="AZ144" s="12">
        <f t="shared" ref="AZ144" si="2769">IF($H144*S144&gt;150000,ROUNDDOWN(($H144*S144-150000)*6%*45%,0),0)</f>
        <v>0</v>
      </c>
      <c r="BA144" s="12">
        <f t="shared" ref="BA144" si="2770">IF($H144*T144&gt;150000,ROUNDDOWN(($H144*T144-150000)*6%*45%,0),0)</f>
        <v>0</v>
      </c>
      <c r="BB144" s="12">
        <f t="shared" ref="BB144" si="2771">IF($H144*U144&gt;150000,ROUNDDOWN(($H144*U144-150000)*6%*45%,0),0)</f>
        <v>0</v>
      </c>
      <c r="BC144" s="12">
        <f t="shared" ref="BC144" si="2772">IF($H144*V144&gt;150000,ROUNDDOWN(($H144*V144-150000)*6%*45%,0),0)</f>
        <v>0</v>
      </c>
      <c r="BD144" s="13">
        <f t="shared" ref="BD144" si="2773">IF($H144*W144&gt;150000,ROUNDDOWN(($H144*W144-150000)*6%*45%,0),0)</f>
        <v>0</v>
      </c>
      <c r="BE144" s="14"/>
    </row>
    <row r="145" spans="1:58" x14ac:dyDescent="0.3">
      <c r="A145" s="142"/>
      <c r="B145" s="116"/>
      <c r="C145" s="116"/>
      <c r="D145" s="143"/>
      <c r="E145" s="116"/>
      <c r="F145" s="116"/>
      <c r="G145" s="144"/>
      <c r="H145" s="112"/>
      <c r="I145" s="43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5"/>
      <c r="Y145" s="145"/>
      <c r="Z145" s="116"/>
      <c r="AA145" s="112"/>
      <c r="AB145" s="65">
        <f t="shared" ref="AB145" si="2774">ROUNDDOWN(AB144*10%,-1)</f>
        <v>0</v>
      </c>
      <c r="AC145" s="66">
        <f t="shared" ref="AC145" ca="1" si="2775">IFERROR(IF(AND( OR(COUNTIF(I144:X145, "&gt;0")&gt;=$AJ$1, AA144&gt;=$AJ$4),AN144&lt;60,AA144&lt;=$AH$5),ROUNDDOWN(ROUNDDOWN(AA144,-3)*$AH$4%,-1),IF(AND(COUNTIF(I144:X145,"&gt;0")&gt;=$AJ$1,AN144&lt;60,AA144&gt;$AH$5),$AJ$5,0)),0)</f>
        <v>0</v>
      </c>
      <c r="AD145" s="67">
        <f t="shared" ref="AD145" si="2776">IF(Z144&gt;=$AJ$1,ROUNDDOWN(AD144*$AH$3%/($AH$2*2%),-1),0)</f>
        <v>0</v>
      </c>
      <c r="AE145" s="112"/>
      <c r="AF145" s="112"/>
      <c r="AG145" s="116"/>
      <c r="AH145" s="116"/>
      <c r="AI145" s="116"/>
      <c r="AJ145" s="116"/>
      <c r="AK145" s="149"/>
      <c r="AL145" s="149"/>
      <c r="AM145" s="115"/>
      <c r="AN145" s="113"/>
      <c r="AO145" s="112"/>
      <c r="AP145" s="15">
        <f t="shared" ref="AP145" si="2777">IF($H144*I145&gt;150000,ROUNDDOWN(($H144*I145-150000)*6%*45%,0),0)</f>
        <v>0</v>
      </c>
      <c r="AQ145" s="16">
        <f t="shared" ref="AQ145" si="2778">IF($H144*J145&gt;150000,ROUNDDOWN(($H144*J145-150000)*6%*45%,0),0)</f>
        <v>0</v>
      </c>
      <c r="AR145" s="16">
        <f t="shared" ref="AR145" si="2779">IF($H144*K145&gt;150000,ROUNDDOWN(($H144*K145-150000)*6%*45%,0),0)</f>
        <v>0</v>
      </c>
      <c r="AS145" s="16">
        <f t="shared" ref="AS145" si="2780">IF($H144*L145&gt;150000,ROUNDDOWN(($H144*L145-150000)*6%*45%,0),0)</f>
        <v>0</v>
      </c>
      <c r="AT145" s="16">
        <f t="shared" ref="AT145" si="2781">IF($H144*M145&gt;150000,ROUNDDOWN(($H144*M145-150000)*6%*45%,0),0)</f>
        <v>0</v>
      </c>
      <c r="AU145" s="16">
        <f t="shared" ref="AU145" si="2782">IF($H144*N145&gt;150000,ROUNDDOWN(($H144*N145-150000)*6%*45%,0),0)</f>
        <v>0</v>
      </c>
      <c r="AV145" s="16">
        <f t="shared" ref="AV145" si="2783">IF($H144*O145&gt;150000,ROUNDDOWN(($H144*O145-150000)*6%*45%,0),0)</f>
        <v>0</v>
      </c>
      <c r="AW145" s="16">
        <f t="shared" ref="AW145" si="2784">IF($H144*P145&gt;150000,ROUNDDOWN(($H144*P145-150000)*6%*45%,0),0)</f>
        <v>0</v>
      </c>
      <c r="AX145" s="16">
        <f t="shared" ref="AX145" si="2785">IF($H144*Q145&gt;150000,ROUNDDOWN(($H144*Q145-150000)*6%*45%,0),0)</f>
        <v>0</v>
      </c>
      <c r="AY145" s="16">
        <f t="shared" ref="AY145" si="2786">IF($H144*R145&gt;150000,ROUNDDOWN(($H144*R145-150000)*6%*45%,0),0)</f>
        <v>0</v>
      </c>
      <c r="AZ145" s="16">
        <f t="shared" ref="AZ145" si="2787">IF($H144*S145&gt;150000,ROUNDDOWN(($H144*S145-150000)*6%*45%,0),0)</f>
        <v>0</v>
      </c>
      <c r="BA145" s="16">
        <f t="shared" ref="BA145" si="2788">IF($H144*T145&gt;150000,ROUNDDOWN(($H144*T145-150000)*6%*45%,0),0)</f>
        <v>0</v>
      </c>
      <c r="BB145" s="16">
        <f t="shared" ref="BB145" si="2789">IF($H144*U145&gt;150000,ROUNDDOWN(($H144*U145-150000)*6%*45%,0),0)</f>
        <v>0</v>
      </c>
      <c r="BC145" s="16">
        <f t="shared" ref="BC145" si="2790">IF($H144*V145&gt;150000,ROUNDDOWN(($H144*V145-150000)*6%*45%,0),0)</f>
        <v>0</v>
      </c>
      <c r="BD145" s="16">
        <f t="shared" ref="BD145" si="2791">IF($H144*W145&gt;150000,ROUNDDOWN(($H144*W145-150000)*6%*45%,0),0)</f>
        <v>0</v>
      </c>
      <c r="BE145" s="17">
        <f t="shared" ref="BE145" si="2792">IF($H144*X145&gt;150000,ROUNDDOWN(($H144*X145-150000)*6%*45%,0),0)</f>
        <v>0</v>
      </c>
      <c r="BF145" s="28"/>
    </row>
    <row r="146" spans="1:58" x14ac:dyDescent="0.3">
      <c r="A146" s="142">
        <v>70</v>
      </c>
      <c r="B146" s="116" t="str">
        <f t="shared" ref="B146" si="2793">IF(LEN(D146)&gt;1,IF(VALUE(MID(RIGHT(D146,7),1,1))&gt;4,"외국인",IF(VALUE(RIGHT(11-MOD((MID(D146,1,1)*2+MID(D146,2,1)*3+MID(D146,3,1)*4+MID(D146,4,1)*5+MID(D146,5,1)*6+MID(D146,6,1)*7+MID(RIGHT(D146,7),1,1)*8+MID(RIGHT(D146,7),2,1)*9+MID(RIGHT(D146,7),3,1)*2+MID(RIGHT(D146,7),4,1)*3+MID(RIGHT(D146,7),5,1)*4+MID(RIGHT(D146,7),6,1)*5),11),1))=VALUE(RIGHT(D146,1)),"","오류")),"")</f>
        <v/>
      </c>
      <c r="C146" s="116"/>
      <c r="D146" s="143"/>
      <c r="E146" s="116"/>
      <c r="F146" s="116"/>
      <c r="G146" s="144"/>
      <c r="H146" s="112"/>
      <c r="I146" s="38"/>
      <c r="J146" s="39"/>
      <c r="K146" s="39"/>
      <c r="L146" s="39"/>
      <c r="M146" s="39"/>
      <c r="N146" s="39"/>
      <c r="O146" s="39"/>
      <c r="P146" s="39"/>
      <c r="Q146" s="39"/>
      <c r="R146" s="39"/>
      <c r="S146" s="40"/>
      <c r="T146" s="40"/>
      <c r="U146" s="39"/>
      <c r="V146" s="39"/>
      <c r="W146" s="41"/>
      <c r="X146" s="42"/>
      <c r="Y146" s="145">
        <f>SUM(I146:X147)</f>
        <v>0</v>
      </c>
      <c r="Z146" s="116">
        <f>COUNTIF(I146:X147,"&gt;0")</f>
        <v>0</v>
      </c>
      <c r="AA146" s="112">
        <f t="shared" ref="AA146" si="2794">H146*Y146</f>
        <v>0</v>
      </c>
      <c r="AB146" s="62">
        <f t="shared" ref="AB146" si="2795">IF(AO146&lt;1000, 0, AO146)</f>
        <v>0</v>
      </c>
      <c r="AC146" s="63">
        <f ca="1">IF(IFERROR($AN146&lt;65,FALSE), IF(B146&lt;&gt;"외국인", ROUNDDOWN(AA146*$AH$1%,-1), IF(AND(AM146&lt;&gt;"", ISNUMBER(SEARCH(LEFT(SUBSTITUTE(AM146, "-",""),2), "F2_F5_F6"))), ROUNDDOWN(AA146*$AH$1%,-1), 0)),0)</f>
        <v>0</v>
      </c>
      <c r="AD146" s="64">
        <f t="shared" ref="AD146" si="2796">IF(Z146&gt;=$AJ$1,ROUNDDOWN(AA146*$AH$2%,-1),0)</f>
        <v>0</v>
      </c>
      <c r="AE146" s="112">
        <f t="shared" ref="AE146" ca="1" si="2797">AB146+AC146+AB147+AC147+AD146+AD147</f>
        <v>0</v>
      </c>
      <c r="AF146" s="112">
        <f t="shared" ref="AF146" ca="1" si="2798">AA146-AE146</f>
        <v>0</v>
      </c>
      <c r="AG146" s="116"/>
      <c r="AH146" s="116"/>
      <c r="AI146" s="116"/>
      <c r="AJ146" s="116"/>
      <c r="AK146" s="149"/>
      <c r="AL146" s="149"/>
      <c r="AM146" s="115"/>
      <c r="AN146" s="113" t="str">
        <f t="shared" ref="AN146" ca="1" si="2799">IFERROR(DATEDIF(DATE(IF(ISNUMBER(FIND(MID( SUBSTITUTE(D146, "-",""), 7, 1), "3478")), 2000, 1900)+MID(D146,1,2), MID(D146,3,2), MID(D146,5,2)), TODAY(), "Y"),"")</f>
        <v/>
      </c>
      <c r="AO146" s="112">
        <f>ROUNDDOWN(SUM(AP146:BE147),-1)</f>
        <v>0</v>
      </c>
      <c r="AP146" s="11">
        <f t="shared" ref="AP146" si="2800">IF($H146*I146&gt;150000,ROUNDDOWN(($H146*I146-150000)*6%*45%,0),0)</f>
        <v>0</v>
      </c>
      <c r="AQ146" s="12">
        <f t="shared" ref="AQ146" si="2801">IF($H146*J146&gt;150000,ROUNDDOWN(($H146*J146-150000)*6%*45%,0),0)</f>
        <v>0</v>
      </c>
      <c r="AR146" s="12">
        <f t="shared" ref="AR146" si="2802">IF($H146*K146&gt;150000,ROUNDDOWN(($H146*K146-150000)*6%*45%,0),0)</f>
        <v>0</v>
      </c>
      <c r="AS146" s="12">
        <f t="shared" ref="AS146" si="2803">IF($H146*L146&gt;150000,ROUNDDOWN(($H146*L146-150000)*6%*45%,0),0)</f>
        <v>0</v>
      </c>
      <c r="AT146" s="12">
        <f t="shared" ref="AT146" si="2804">IF($H146*M146&gt;150000,ROUNDDOWN(($H146*M146-150000)*6%*45%,0),0)</f>
        <v>0</v>
      </c>
      <c r="AU146" s="12">
        <f t="shared" ref="AU146" si="2805">IF($H146*N146&gt;150000,ROUNDDOWN(($H146*N146-150000)*6%*45%,0),0)</f>
        <v>0</v>
      </c>
      <c r="AV146" s="12">
        <f t="shared" ref="AV146" si="2806">IF($H146*O146&gt;150000,ROUNDDOWN(($H146*O146-150000)*6%*45%,0),0)</f>
        <v>0</v>
      </c>
      <c r="AW146" s="12">
        <f t="shared" ref="AW146" si="2807">IF($H146*P146&gt;150000,ROUNDDOWN(($H146*P146-150000)*6%*45%,0),0)</f>
        <v>0</v>
      </c>
      <c r="AX146" s="12">
        <f t="shared" ref="AX146" si="2808">IF($H146*Q146&gt;150000,ROUNDDOWN(($H146*Q146-150000)*6%*45%,0),0)</f>
        <v>0</v>
      </c>
      <c r="AY146" s="12">
        <f t="shared" ref="AY146" si="2809">IF($H146*R146&gt;150000,ROUNDDOWN(($H146*R146-150000)*6%*45%,0),0)</f>
        <v>0</v>
      </c>
      <c r="AZ146" s="12">
        <f t="shared" ref="AZ146" si="2810">IF($H146*S146&gt;150000,ROUNDDOWN(($H146*S146-150000)*6%*45%,0),0)</f>
        <v>0</v>
      </c>
      <c r="BA146" s="12">
        <f t="shared" ref="BA146" si="2811">IF($H146*T146&gt;150000,ROUNDDOWN(($H146*T146-150000)*6%*45%,0),0)</f>
        <v>0</v>
      </c>
      <c r="BB146" s="12">
        <f t="shared" ref="BB146" si="2812">IF($H146*U146&gt;150000,ROUNDDOWN(($H146*U146-150000)*6%*45%,0),0)</f>
        <v>0</v>
      </c>
      <c r="BC146" s="12">
        <f t="shared" ref="BC146" si="2813">IF($H146*V146&gt;150000,ROUNDDOWN(($H146*V146-150000)*6%*45%,0),0)</f>
        <v>0</v>
      </c>
      <c r="BD146" s="13">
        <f t="shared" ref="BD146" si="2814">IF($H146*W146&gt;150000,ROUNDDOWN(($H146*W146-150000)*6%*45%,0),0)</f>
        <v>0</v>
      </c>
      <c r="BE146" s="14"/>
    </row>
    <row r="147" spans="1:58" x14ac:dyDescent="0.3">
      <c r="A147" s="142"/>
      <c r="B147" s="116"/>
      <c r="C147" s="116"/>
      <c r="D147" s="143"/>
      <c r="E147" s="116"/>
      <c r="F147" s="116"/>
      <c r="G147" s="144"/>
      <c r="H147" s="112"/>
      <c r="I147" s="43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5"/>
      <c r="Y147" s="145"/>
      <c r="Z147" s="116"/>
      <c r="AA147" s="112"/>
      <c r="AB147" s="65">
        <f t="shared" ref="AB147" si="2815">ROUNDDOWN(AB146*10%,-1)</f>
        <v>0</v>
      </c>
      <c r="AC147" s="66">
        <f t="shared" ref="AC147" ca="1" si="2816">IFERROR(IF(AND( OR(COUNTIF(I146:X147, "&gt;0")&gt;=$AJ$1, AA146&gt;=$AJ$4),AN146&lt;60,AA146&lt;=$AH$5),ROUNDDOWN(ROUNDDOWN(AA146,-3)*$AH$4%,-1),IF(AND(COUNTIF(I146:X147,"&gt;0")&gt;=$AJ$1,AN146&lt;60,AA146&gt;$AH$5),$AJ$5,0)),0)</f>
        <v>0</v>
      </c>
      <c r="AD147" s="67">
        <f t="shared" ref="AD147" si="2817">IF(Z146&gt;=$AJ$1,ROUNDDOWN(AD146*$AH$3%/($AH$2*2%),-1),0)</f>
        <v>0</v>
      </c>
      <c r="AE147" s="112"/>
      <c r="AF147" s="112"/>
      <c r="AG147" s="116"/>
      <c r="AH147" s="116"/>
      <c r="AI147" s="116"/>
      <c r="AJ147" s="116"/>
      <c r="AK147" s="149"/>
      <c r="AL147" s="149"/>
      <c r="AM147" s="115"/>
      <c r="AN147" s="113"/>
      <c r="AO147" s="112"/>
      <c r="AP147" s="15">
        <f t="shared" ref="AP147" si="2818">IF($H146*I147&gt;150000,ROUNDDOWN(($H146*I147-150000)*6%*45%,0),0)</f>
        <v>0</v>
      </c>
      <c r="AQ147" s="16">
        <f t="shared" ref="AQ147" si="2819">IF($H146*J147&gt;150000,ROUNDDOWN(($H146*J147-150000)*6%*45%,0),0)</f>
        <v>0</v>
      </c>
      <c r="AR147" s="16">
        <f t="shared" ref="AR147" si="2820">IF($H146*K147&gt;150000,ROUNDDOWN(($H146*K147-150000)*6%*45%,0),0)</f>
        <v>0</v>
      </c>
      <c r="AS147" s="16">
        <f t="shared" ref="AS147" si="2821">IF($H146*L147&gt;150000,ROUNDDOWN(($H146*L147-150000)*6%*45%,0),0)</f>
        <v>0</v>
      </c>
      <c r="AT147" s="16">
        <f t="shared" ref="AT147" si="2822">IF($H146*M147&gt;150000,ROUNDDOWN(($H146*M147-150000)*6%*45%,0),0)</f>
        <v>0</v>
      </c>
      <c r="AU147" s="16">
        <f t="shared" ref="AU147" si="2823">IF($H146*N147&gt;150000,ROUNDDOWN(($H146*N147-150000)*6%*45%,0),0)</f>
        <v>0</v>
      </c>
      <c r="AV147" s="16">
        <f t="shared" ref="AV147" si="2824">IF($H146*O147&gt;150000,ROUNDDOWN(($H146*O147-150000)*6%*45%,0),0)</f>
        <v>0</v>
      </c>
      <c r="AW147" s="16">
        <f t="shared" ref="AW147" si="2825">IF($H146*P147&gt;150000,ROUNDDOWN(($H146*P147-150000)*6%*45%,0),0)</f>
        <v>0</v>
      </c>
      <c r="AX147" s="16">
        <f t="shared" ref="AX147" si="2826">IF($H146*Q147&gt;150000,ROUNDDOWN(($H146*Q147-150000)*6%*45%,0),0)</f>
        <v>0</v>
      </c>
      <c r="AY147" s="16">
        <f t="shared" ref="AY147" si="2827">IF($H146*R147&gt;150000,ROUNDDOWN(($H146*R147-150000)*6%*45%,0),0)</f>
        <v>0</v>
      </c>
      <c r="AZ147" s="16">
        <f t="shared" ref="AZ147" si="2828">IF($H146*S147&gt;150000,ROUNDDOWN(($H146*S147-150000)*6%*45%,0),0)</f>
        <v>0</v>
      </c>
      <c r="BA147" s="16">
        <f t="shared" ref="BA147" si="2829">IF($H146*T147&gt;150000,ROUNDDOWN(($H146*T147-150000)*6%*45%,0),0)</f>
        <v>0</v>
      </c>
      <c r="BB147" s="16">
        <f t="shared" ref="BB147" si="2830">IF($H146*U147&gt;150000,ROUNDDOWN(($H146*U147-150000)*6%*45%,0),0)</f>
        <v>0</v>
      </c>
      <c r="BC147" s="16">
        <f t="shared" ref="BC147" si="2831">IF($H146*V147&gt;150000,ROUNDDOWN(($H146*V147-150000)*6%*45%,0),0)</f>
        <v>0</v>
      </c>
      <c r="BD147" s="16">
        <f t="shared" ref="BD147" si="2832">IF($H146*W147&gt;150000,ROUNDDOWN(($H146*W147-150000)*6%*45%,0),0)</f>
        <v>0</v>
      </c>
      <c r="BE147" s="17">
        <f t="shared" ref="BE147" si="2833">IF($H146*X147&gt;150000,ROUNDDOWN(($H146*X147-150000)*6%*45%,0),0)</f>
        <v>0</v>
      </c>
      <c r="BF147" s="28"/>
    </row>
    <row r="148" spans="1:58" x14ac:dyDescent="0.3">
      <c r="A148" s="142">
        <v>71</v>
      </c>
      <c r="B148" s="116" t="str">
        <f t="shared" ref="B148" si="2834">IF(LEN(D148)&gt;1,IF(VALUE(MID(RIGHT(D148,7),1,1))&gt;4,"외국인",IF(VALUE(RIGHT(11-MOD((MID(D148,1,1)*2+MID(D148,2,1)*3+MID(D148,3,1)*4+MID(D148,4,1)*5+MID(D148,5,1)*6+MID(D148,6,1)*7+MID(RIGHT(D148,7),1,1)*8+MID(RIGHT(D148,7),2,1)*9+MID(RIGHT(D148,7),3,1)*2+MID(RIGHT(D148,7),4,1)*3+MID(RIGHT(D148,7),5,1)*4+MID(RIGHT(D148,7),6,1)*5),11),1))=VALUE(RIGHT(D148,1)),"","오류")),"")</f>
        <v/>
      </c>
      <c r="C148" s="116"/>
      <c r="D148" s="143"/>
      <c r="E148" s="116"/>
      <c r="F148" s="116"/>
      <c r="G148" s="144"/>
      <c r="H148" s="112"/>
      <c r="I148" s="38"/>
      <c r="J148" s="39"/>
      <c r="K148" s="39"/>
      <c r="L148" s="39"/>
      <c r="M148" s="39"/>
      <c r="N148" s="39"/>
      <c r="O148" s="39"/>
      <c r="P148" s="39"/>
      <c r="Q148" s="39"/>
      <c r="R148" s="39"/>
      <c r="S148" s="40"/>
      <c r="T148" s="40"/>
      <c r="U148" s="39"/>
      <c r="V148" s="39"/>
      <c r="W148" s="41"/>
      <c r="X148" s="42"/>
      <c r="Y148" s="145">
        <f>SUM(I148:X149)</f>
        <v>0</v>
      </c>
      <c r="Z148" s="116">
        <f>COUNTIF(I148:X149,"&gt;0")</f>
        <v>0</v>
      </c>
      <c r="AA148" s="112">
        <f t="shared" ref="AA148" si="2835">H148*Y148</f>
        <v>0</v>
      </c>
      <c r="AB148" s="62">
        <f t="shared" ref="AB148" si="2836">IF(AO148&lt;1000, 0, AO148)</f>
        <v>0</v>
      </c>
      <c r="AC148" s="63">
        <f ca="1">IF(IFERROR($AN148&lt;65,FALSE), IF(B148&lt;&gt;"외국인", ROUNDDOWN(AA148*$AH$1%,-1), IF(AND(AM148&lt;&gt;"", ISNUMBER(SEARCH(LEFT(SUBSTITUTE(AM148, "-",""),2), "F2_F5_F6"))), ROUNDDOWN(AA148*$AH$1%,-1), 0)),0)</f>
        <v>0</v>
      </c>
      <c r="AD148" s="64">
        <f t="shared" ref="AD148" si="2837">IF(Z148&gt;=$AJ$1,ROUNDDOWN(AA148*$AH$2%,-1),0)</f>
        <v>0</v>
      </c>
      <c r="AE148" s="112">
        <f t="shared" ref="AE148" ca="1" si="2838">AB148+AC148+AB149+AC149+AD148+AD149</f>
        <v>0</v>
      </c>
      <c r="AF148" s="112">
        <f t="shared" ref="AF148" ca="1" si="2839">AA148-AE148</f>
        <v>0</v>
      </c>
      <c r="AG148" s="116"/>
      <c r="AH148" s="116"/>
      <c r="AI148" s="116"/>
      <c r="AJ148" s="116"/>
      <c r="AK148" s="149"/>
      <c r="AL148" s="149"/>
      <c r="AM148" s="115"/>
      <c r="AN148" s="113" t="str">
        <f t="shared" ref="AN148" ca="1" si="2840">IFERROR(DATEDIF(DATE(IF(ISNUMBER(FIND(MID( SUBSTITUTE(D148, "-",""), 7, 1), "3478")), 2000, 1900)+MID(D148,1,2), MID(D148,3,2), MID(D148,5,2)), TODAY(), "Y"),"")</f>
        <v/>
      </c>
      <c r="AO148" s="112">
        <f>ROUNDDOWN(SUM(AP148:BE149),-1)</f>
        <v>0</v>
      </c>
      <c r="AP148" s="11">
        <f t="shared" ref="AP148" si="2841">IF($H148*I148&gt;150000,ROUNDDOWN(($H148*I148-150000)*6%*45%,0),0)</f>
        <v>0</v>
      </c>
      <c r="AQ148" s="12">
        <f t="shared" ref="AQ148" si="2842">IF($H148*J148&gt;150000,ROUNDDOWN(($H148*J148-150000)*6%*45%,0),0)</f>
        <v>0</v>
      </c>
      <c r="AR148" s="12">
        <f t="shared" ref="AR148" si="2843">IF($H148*K148&gt;150000,ROUNDDOWN(($H148*K148-150000)*6%*45%,0),0)</f>
        <v>0</v>
      </c>
      <c r="AS148" s="12">
        <f t="shared" ref="AS148" si="2844">IF($H148*L148&gt;150000,ROUNDDOWN(($H148*L148-150000)*6%*45%,0),0)</f>
        <v>0</v>
      </c>
      <c r="AT148" s="12">
        <f t="shared" ref="AT148" si="2845">IF($H148*M148&gt;150000,ROUNDDOWN(($H148*M148-150000)*6%*45%,0),0)</f>
        <v>0</v>
      </c>
      <c r="AU148" s="12">
        <f t="shared" ref="AU148" si="2846">IF($H148*N148&gt;150000,ROUNDDOWN(($H148*N148-150000)*6%*45%,0),0)</f>
        <v>0</v>
      </c>
      <c r="AV148" s="12">
        <f t="shared" ref="AV148" si="2847">IF($H148*O148&gt;150000,ROUNDDOWN(($H148*O148-150000)*6%*45%,0),0)</f>
        <v>0</v>
      </c>
      <c r="AW148" s="12">
        <f t="shared" ref="AW148" si="2848">IF($H148*P148&gt;150000,ROUNDDOWN(($H148*P148-150000)*6%*45%,0),0)</f>
        <v>0</v>
      </c>
      <c r="AX148" s="12">
        <f t="shared" ref="AX148" si="2849">IF($H148*Q148&gt;150000,ROUNDDOWN(($H148*Q148-150000)*6%*45%,0),0)</f>
        <v>0</v>
      </c>
      <c r="AY148" s="12">
        <f t="shared" ref="AY148" si="2850">IF($H148*R148&gt;150000,ROUNDDOWN(($H148*R148-150000)*6%*45%,0),0)</f>
        <v>0</v>
      </c>
      <c r="AZ148" s="12">
        <f t="shared" ref="AZ148" si="2851">IF($H148*S148&gt;150000,ROUNDDOWN(($H148*S148-150000)*6%*45%,0),0)</f>
        <v>0</v>
      </c>
      <c r="BA148" s="12">
        <f t="shared" ref="BA148" si="2852">IF($H148*T148&gt;150000,ROUNDDOWN(($H148*T148-150000)*6%*45%,0),0)</f>
        <v>0</v>
      </c>
      <c r="BB148" s="12">
        <f t="shared" ref="BB148" si="2853">IF($H148*U148&gt;150000,ROUNDDOWN(($H148*U148-150000)*6%*45%,0),0)</f>
        <v>0</v>
      </c>
      <c r="BC148" s="12">
        <f t="shared" ref="BC148" si="2854">IF($H148*V148&gt;150000,ROUNDDOWN(($H148*V148-150000)*6%*45%,0),0)</f>
        <v>0</v>
      </c>
      <c r="BD148" s="13">
        <f t="shared" ref="BD148" si="2855">IF($H148*W148&gt;150000,ROUNDDOWN(($H148*W148-150000)*6%*45%,0),0)</f>
        <v>0</v>
      </c>
      <c r="BE148" s="14"/>
    </row>
    <row r="149" spans="1:58" x14ac:dyDescent="0.3">
      <c r="A149" s="142"/>
      <c r="B149" s="116"/>
      <c r="C149" s="116"/>
      <c r="D149" s="143"/>
      <c r="E149" s="116"/>
      <c r="F149" s="116"/>
      <c r="G149" s="144"/>
      <c r="H149" s="112"/>
      <c r="I149" s="43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5"/>
      <c r="Y149" s="145"/>
      <c r="Z149" s="116"/>
      <c r="AA149" s="112"/>
      <c r="AB149" s="65">
        <f t="shared" ref="AB149" si="2856">ROUNDDOWN(AB148*10%,-1)</f>
        <v>0</v>
      </c>
      <c r="AC149" s="66">
        <f t="shared" ref="AC149" ca="1" si="2857">IFERROR(IF(AND( OR(COUNTIF(I148:X149, "&gt;0")&gt;=$AJ$1, AA148&gt;=$AJ$4),AN148&lt;60,AA148&lt;=$AH$5),ROUNDDOWN(ROUNDDOWN(AA148,-3)*$AH$4%,-1),IF(AND(COUNTIF(I148:X149,"&gt;0")&gt;=$AJ$1,AN148&lt;60,AA148&gt;$AH$5),$AJ$5,0)),0)</f>
        <v>0</v>
      </c>
      <c r="AD149" s="67">
        <f t="shared" ref="AD149" si="2858">IF(Z148&gt;=$AJ$1,ROUNDDOWN(AD148*$AH$3%/($AH$2*2%),-1),0)</f>
        <v>0</v>
      </c>
      <c r="AE149" s="112"/>
      <c r="AF149" s="112"/>
      <c r="AG149" s="116"/>
      <c r="AH149" s="116"/>
      <c r="AI149" s="116"/>
      <c r="AJ149" s="116"/>
      <c r="AK149" s="149"/>
      <c r="AL149" s="149"/>
      <c r="AM149" s="115"/>
      <c r="AN149" s="113"/>
      <c r="AO149" s="112"/>
      <c r="AP149" s="15">
        <f t="shared" ref="AP149" si="2859">IF($H148*I149&gt;150000,ROUNDDOWN(($H148*I149-150000)*6%*45%,0),0)</f>
        <v>0</v>
      </c>
      <c r="AQ149" s="16">
        <f t="shared" ref="AQ149" si="2860">IF($H148*J149&gt;150000,ROUNDDOWN(($H148*J149-150000)*6%*45%,0),0)</f>
        <v>0</v>
      </c>
      <c r="AR149" s="16">
        <f t="shared" ref="AR149" si="2861">IF($H148*K149&gt;150000,ROUNDDOWN(($H148*K149-150000)*6%*45%,0),0)</f>
        <v>0</v>
      </c>
      <c r="AS149" s="16">
        <f t="shared" ref="AS149" si="2862">IF($H148*L149&gt;150000,ROUNDDOWN(($H148*L149-150000)*6%*45%,0),0)</f>
        <v>0</v>
      </c>
      <c r="AT149" s="16">
        <f t="shared" ref="AT149" si="2863">IF($H148*M149&gt;150000,ROUNDDOWN(($H148*M149-150000)*6%*45%,0),0)</f>
        <v>0</v>
      </c>
      <c r="AU149" s="16">
        <f t="shared" ref="AU149" si="2864">IF($H148*N149&gt;150000,ROUNDDOWN(($H148*N149-150000)*6%*45%,0),0)</f>
        <v>0</v>
      </c>
      <c r="AV149" s="16">
        <f t="shared" ref="AV149" si="2865">IF($H148*O149&gt;150000,ROUNDDOWN(($H148*O149-150000)*6%*45%,0),0)</f>
        <v>0</v>
      </c>
      <c r="AW149" s="16">
        <f t="shared" ref="AW149" si="2866">IF($H148*P149&gt;150000,ROUNDDOWN(($H148*P149-150000)*6%*45%,0),0)</f>
        <v>0</v>
      </c>
      <c r="AX149" s="16">
        <f t="shared" ref="AX149" si="2867">IF($H148*Q149&gt;150000,ROUNDDOWN(($H148*Q149-150000)*6%*45%,0),0)</f>
        <v>0</v>
      </c>
      <c r="AY149" s="16">
        <f t="shared" ref="AY149" si="2868">IF($H148*R149&gt;150000,ROUNDDOWN(($H148*R149-150000)*6%*45%,0),0)</f>
        <v>0</v>
      </c>
      <c r="AZ149" s="16">
        <f t="shared" ref="AZ149" si="2869">IF($H148*S149&gt;150000,ROUNDDOWN(($H148*S149-150000)*6%*45%,0),0)</f>
        <v>0</v>
      </c>
      <c r="BA149" s="16">
        <f t="shared" ref="BA149" si="2870">IF($H148*T149&gt;150000,ROUNDDOWN(($H148*T149-150000)*6%*45%,0),0)</f>
        <v>0</v>
      </c>
      <c r="BB149" s="16">
        <f t="shared" ref="BB149" si="2871">IF($H148*U149&gt;150000,ROUNDDOWN(($H148*U149-150000)*6%*45%,0),0)</f>
        <v>0</v>
      </c>
      <c r="BC149" s="16">
        <f t="shared" ref="BC149" si="2872">IF($H148*V149&gt;150000,ROUNDDOWN(($H148*V149-150000)*6%*45%,0),0)</f>
        <v>0</v>
      </c>
      <c r="BD149" s="16">
        <f t="shared" ref="BD149" si="2873">IF($H148*W149&gt;150000,ROUNDDOWN(($H148*W149-150000)*6%*45%,0),0)</f>
        <v>0</v>
      </c>
      <c r="BE149" s="17">
        <f t="shared" ref="BE149" si="2874">IF($H148*X149&gt;150000,ROUNDDOWN(($H148*X149-150000)*6%*45%,0),0)</f>
        <v>0</v>
      </c>
      <c r="BF149" s="28"/>
    </row>
    <row r="150" spans="1:58" x14ac:dyDescent="0.3">
      <c r="A150" s="142">
        <v>72</v>
      </c>
      <c r="B150" s="116" t="str">
        <f t="shared" ref="B150" si="2875">IF(LEN(D150)&gt;1,IF(VALUE(MID(RIGHT(D150,7),1,1))&gt;4,"외국인",IF(VALUE(RIGHT(11-MOD((MID(D150,1,1)*2+MID(D150,2,1)*3+MID(D150,3,1)*4+MID(D150,4,1)*5+MID(D150,5,1)*6+MID(D150,6,1)*7+MID(RIGHT(D150,7),1,1)*8+MID(RIGHT(D150,7),2,1)*9+MID(RIGHT(D150,7),3,1)*2+MID(RIGHT(D150,7),4,1)*3+MID(RIGHT(D150,7),5,1)*4+MID(RIGHT(D150,7),6,1)*5),11),1))=VALUE(RIGHT(D150,1)),"","오류")),"")</f>
        <v/>
      </c>
      <c r="C150" s="116"/>
      <c r="D150" s="143"/>
      <c r="E150" s="116"/>
      <c r="F150" s="116"/>
      <c r="G150" s="144"/>
      <c r="H150" s="112"/>
      <c r="I150" s="38"/>
      <c r="J150" s="39"/>
      <c r="K150" s="39"/>
      <c r="L150" s="39"/>
      <c r="M150" s="39"/>
      <c r="N150" s="39"/>
      <c r="O150" s="39"/>
      <c r="P150" s="39"/>
      <c r="Q150" s="39"/>
      <c r="R150" s="39"/>
      <c r="S150" s="40"/>
      <c r="T150" s="40"/>
      <c r="U150" s="39"/>
      <c r="V150" s="39"/>
      <c r="W150" s="41"/>
      <c r="X150" s="42"/>
      <c r="Y150" s="145">
        <f>SUM(I150:X151)</f>
        <v>0</v>
      </c>
      <c r="Z150" s="116">
        <f>COUNTIF(I150:X151,"&gt;0")</f>
        <v>0</v>
      </c>
      <c r="AA150" s="112">
        <f t="shared" ref="AA150" si="2876">H150*Y150</f>
        <v>0</v>
      </c>
      <c r="AB150" s="62">
        <f t="shared" ref="AB150" si="2877">IF(AO150&lt;1000, 0, AO150)</f>
        <v>0</v>
      </c>
      <c r="AC150" s="63">
        <f ca="1">IF(IFERROR($AN150&lt;65,FALSE), IF(B150&lt;&gt;"외국인", ROUNDDOWN(AA150*$AH$1%,-1), IF(AND(AM150&lt;&gt;"", ISNUMBER(SEARCH(LEFT(SUBSTITUTE(AM150, "-",""),2), "F2_F5_F6"))), ROUNDDOWN(AA150*$AH$1%,-1), 0)),0)</f>
        <v>0</v>
      </c>
      <c r="AD150" s="64">
        <f t="shared" ref="AD150" si="2878">IF(Z150&gt;=$AJ$1,ROUNDDOWN(AA150*$AH$2%,-1),0)</f>
        <v>0</v>
      </c>
      <c r="AE150" s="112">
        <f t="shared" ref="AE150" ca="1" si="2879">AB150+AC150+AB151+AC151+AD150+AD151</f>
        <v>0</v>
      </c>
      <c r="AF150" s="112">
        <f t="shared" ref="AF150" ca="1" si="2880">AA150-AE150</f>
        <v>0</v>
      </c>
      <c r="AG150" s="116"/>
      <c r="AH150" s="116"/>
      <c r="AI150" s="116"/>
      <c r="AJ150" s="116"/>
      <c r="AK150" s="149"/>
      <c r="AL150" s="149"/>
      <c r="AM150" s="115"/>
      <c r="AN150" s="113" t="str">
        <f t="shared" ref="AN150" ca="1" si="2881">IFERROR(DATEDIF(DATE(IF(ISNUMBER(FIND(MID( SUBSTITUTE(D150, "-",""), 7, 1), "3478")), 2000, 1900)+MID(D150,1,2), MID(D150,3,2), MID(D150,5,2)), TODAY(), "Y"),"")</f>
        <v/>
      </c>
      <c r="AO150" s="112">
        <f>ROUNDDOWN(SUM(AP150:BE151),-1)</f>
        <v>0</v>
      </c>
      <c r="AP150" s="11">
        <f t="shared" ref="AP150" si="2882">IF($H150*I150&gt;150000,ROUNDDOWN(($H150*I150-150000)*6%*45%,0),0)</f>
        <v>0</v>
      </c>
      <c r="AQ150" s="12">
        <f t="shared" ref="AQ150" si="2883">IF($H150*J150&gt;150000,ROUNDDOWN(($H150*J150-150000)*6%*45%,0),0)</f>
        <v>0</v>
      </c>
      <c r="AR150" s="12">
        <f t="shared" ref="AR150" si="2884">IF($H150*K150&gt;150000,ROUNDDOWN(($H150*K150-150000)*6%*45%,0),0)</f>
        <v>0</v>
      </c>
      <c r="AS150" s="12">
        <f t="shared" ref="AS150" si="2885">IF($H150*L150&gt;150000,ROUNDDOWN(($H150*L150-150000)*6%*45%,0),0)</f>
        <v>0</v>
      </c>
      <c r="AT150" s="12">
        <f t="shared" ref="AT150" si="2886">IF($H150*M150&gt;150000,ROUNDDOWN(($H150*M150-150000)*6%*45%,0),0)</f>
        <v>0</v>
      </c>
      <c r="AU150" s="12">
        <f t="shared" ref="AU150" si="2887">IF($H150*N150&gt;150000,ROUNDDOWN(($H150*N150-150000)*6%*45%,0),0)</f>
        <v>0</v>
      </c>
      <c r="AV150" s="12">
        <f t="shared" ref="AV150" si="2888">IF($H150*O150&gt;150000,ROUNDDOWN(($H150*O150-150000)*6%*45%,0),0)</f>
        <v>0</v>
      </c>
      <c r="AW150" s="12">
        <f t="shared" ref="AW150" si="2889">IF($H150*P150&gt;150000,ROUNDDOWN(($H150*P150-150000)*6%*45%,0),0)</f>
        <v>0</v>
      </c>
      <c r="AX150" s="12">
        <f t="shared" ref="AX150" si="2890">IF($H150*Q150&gt;150000,ROUNDDOWN(($H150*Q150-150000)*6%*45%,0),0)</f>
        <v>0</v>
      </c>
      <c r="AY150" s="12">
        <f t="shared" ref="AY150" si="2891">IF($H150*R150&gt;150000,ROUNDDOWN(($H150*R150-150000)*6%*45%,0),0)</f>
        <v>0</v>
      </c>
      <c r="AZ150" s="12">
        <f t="shared" ref="AZ150" si="2892">IF($H150*S150&gt;150000,ROUNDDOWN(($H150*S150-150000)*6%*45%,0),0)</f>
        <v>0</v>
      </c>
      <c r="BA150" s="12">
        <f t="shared" ref="BA150" si="2893">IF($H150*T150&gt;150000,ROUNDDOWN(($H150*T150-150000)*6%*45%,0),0)</f>
        <v>0</v>
      </c>
      <c r="BB150" s="12">
        <f t="shared" ref="BB150" si="2894">IF($H150*U150&gt;150000,ROUNDDOWN(($H150*U150-150000)*6%*45%,0),0)</f>
        <v>0</v>
      </c>
      <c r="BC150" s="12">
        <f t="shared" ref="BC150" si="2895">IF($H150*V150&gt;150000,ROUNDDOWN(($H150*V150-150000)*6%*45%,0),0)</f>
        <v>0</v>
      </c>
      <c r="BD150" s="13">
        <f t="shared" ref="BD150" si="2896">IF($H150*W150&gt;150000,ROUNDDOWN(($H150*W150-150000)*6%*45%,0),0)</f>
        <v>0</v>
      </c>
      <c r="BE150" s="14"/>
    </row>
    <row r="151" spans="1:58" x14ac:dyDescent="0.3">
      <c r="A151" s="142"/>
      <c r="B151" s="116"/>
      <c r="C151" s="116"/>
      <c r="D151" s="143"/>
      <c r="E151" s="116"/>
      <c r="F151" s="116"/>
      <c r="G151" s="144"/>
      <c r="H151" s="112"/>
      <c r="I151" s="43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5"/>
      <c r="Y151" s="145"/>
      <c r="Z151" s="116"/>
      <c r="AA151" s="112"/>
      <c r="AB151" s="65">
        <f t="shared" ref="AB151" si="2897">ROUNDDOWN(AB150*10%,-1)</f>
        <v>0</v>
      </c>
      <c r="AC151" s="66">
        <f t="shared" ref="AC151" ca="1" si="2898">IFERROR(IF(AND( OR(COUNTIF(I150:X151, "&gt;0")&gt;=$AJ$1, AA150&gt;=$AJ$4),AN150&lt;60,AA150&lt;=$AH$5),ROUNDDOWN(ROUNDDOWN(AA150,-3)*$AH$4%,-1),IF(AND(COUNTIF(I150:X151,"&gt;0")&gt;=$AJ$1,AN150&lt;60,AA150&gt;$AH$5),$AJ$5,0)),0)</f>
        <v>0</v>
      </c>
      <c r="AD151" s="67">
        <f t="shared" ref="AD151" si="2899">IF(Z150&gt;=$AJ$1,ROUNDDOWN(AD150*$AH$3%/($AH$2*2%),-1),0)</f>
        <v>0</v>
      </c>
      <c r="AE151" s="112"/>
      <c r="AF151" s="112"/>
      <c r="AG151" s="116"/>
      <c r="AH151" s="116"/>
      <c r="AI151" s="116"/>
      <c r="AJ151" s="116"/>
      <c r="AK151" s="149"/>
      <c r="AL151" s="149"/>
      <c r="AM151" s="115"/>
      <c r="AN151" s="113"/>
      <c r="AO151" s="112"/>
      <c r="AP151" s="15">
        <f t="shared" ref="AP151" si="2900">IF($H150*I151&gt;150000,ROUNDDOWN(($H150*I151-150000)*6%*45%,0),0)</f>
        <v>0</v>
      </c>
      <c r="AQ151" s="16">
        <f t="shared" ref="AQ151" si="2901">IF($H150*J151&gt;150000,ROUNDDOWN(($H150*J151-150000)*6%*45%,0),0)</f>
        <v>0</v>
      </c>
      <c r="AR151" s="16">
        <f t="shared" ref="AR151" si="2902">IF($H150*K151&gt;150000,ROUNDDOWN(($H150*K151-150000)*6%*45%,0),0)</f>
        <v>0</v>
      </c>
      <c r="AS151" s="16">
        <f t="shared" ref="AS151" si="2903">IF($H150*L151&gt;150000,ROUNDDOWN(($H150*L151-150000)*6%*45%,0),0)</f>
        <v>0</v>
      </c>
      <c r="AT151" s="16">
        <f t="shared" ref="AT151" si="2904">IF($H150*M151&gt;150000,ROUNDDOWN(($H150*M151-150000)*6%*45%,0),0)</f>
        <v>0</v>
      </c>
      <c r="AU151" s="16">
        <f t="shared" ref="AU151" si="2905">IF($H150*N151&gt;150000,ROUNDDOWN(($H150*N151-150000)*6%*45%,0),0)</f>
        <v>0</v>
      </c>
      <c r="AV151" s="16">
        <f t="shared" ref="AV151" si="2906">IF($H150*O151&gt;150000,ROUNDDOWN(($H150*O151-150000)*6%*45%,0),0)</f>
        <v>0</v>
      </c>
      <c r="AW151" s="16">
        <f t="shared" ref="AW151" si="2907">IF($H150*P151&gt;150000,ROUNDDOWN(($H150*P151-150000)*6%*45%,0),0)</f>
        <v>0</v>
      </c>
      <c r="AX151" s="16">
        <f t="shared" ref="AX151" si="2908">IF($H150*Q151&gt;150000,ROUNDDOWN(($H150*Q151-150000)*6%*45%,0),0)</f>
        <v>0</v>
      </c>
      <c r="AY151" s="16">
        <f t="shared" ref="AY151" si="2909">IF($H150*R151&gt;150000,ROUNDDOWN(($H150*R151-150000)*6%*45%,0),0)</f>
        <v>0</v>
      </c>
      <c r="AZ151" s="16">
        <f t="shared" ref="AZ151" si="2910">IF($H150*S151&gt;150000,ROUNDDOWN(($H150*S151-150000)*6%*45%,0),0)</f>
        <v>0</v>
      </c>
      <c r="BA151" s="16">
        <f t="shared" ref="BA151" si="2911">IF($H150*T151&gt;150000,ROUNDDOWN(($H150*T151-150000)*6%*45%,0),0)</f>
        <v>0</v>
      </c>
      <c r="BB151" s="16">
        <f t="shared" ref="BB151" si="2912">IF($H150*U151&gt;150000,ROUNDDOWN(($H150*U151-150000)*6%*45%,0),0)</f>
        <v>0</v>
      </c>
      <c r="BC151" s="16">
        <f t="shared" ref="BC151" si="2913">IF($H150*V151&gt;150000,ROUNDDOWN(($H150*V151-150000)*6%*45%,0),0)</f>
        <v>0</v>
      </c>
      <c r="BD151" s="16">
        <f t="shared" ref="BD151" si="2914">IF($H150*W151&gt;150000,ROUNDDOWN(($H150*W151-150000)*6%*45%,0),0)</f>
        <v>0</v>
      </c>
      <c r="BE151" s="17">
        <f t="shared" ref="BE151" si="2915">IF($H150*X151&gt;150000,ROUNDDOWN(($H150*X151-150000)*6%*45%,0),0)</f>
        <v>0</v>
      </c>
      <c r="BF151" s="28"/>
    </row>
    <row r="152" spans="1:58" x14ac:dyDescent="0.3">
      <c r="A152" s="142">
        <v>73</v>
      </c>
      <c r="B152" s="116" t="str">
        <f t="shared" ref="B152" si="2916">IF(LEN(D152)&gt;1,IF(VALUE(MID(RIGHT(D152,7),1,1))&gt;4,"외국인",IF(VALUE(RIGHT(11-MOD((MID(D152,1,1)*2+MID(D152,2,1)*3+MID(D152,3,1)*4+MID(D152,4,1)*5+MID(D152,5,1)*6+MID(D152,6,1)*7+MID(RIGHT(D152,7),1,1)*8+MID(RIGHT(D152,7),2,1)*9+MID(RIGHT(D152,7),3,1)*2+MID(RIGHT(D152,7),4,1)*3+MID(RIGHT(D152,7),5,1)*4+MID(RIGHT(D152,7),6,1)*5),11),1))=VALUE(RIGHT(D152,1)),"","오류")),"")</f>
        <v/>
      </c>
      <c r="C152" s="116"/>
      <c r="D152" s="143"/>
      <c r="E152" s="116"/>
      <c r="F152" s="116"/>
      <c r="G152" s="144"/>
      <c r="H152" s="112"/>
      <c r="I152" s="38"/>
      <c r="J152" s="39"/>
      <c r="K152" s="39"/>
      <c r="L152" s="39"/>
      <c r="M152" s="39"/>
      <c r="N152" s="39"/>
      <c r="O152" s="39"/>
      <c r="P152" s="39"/>
      <c r="Q152" s="39"/>
      <c r="R152" s="39"/>
      <c r="S152" s="40"/>
      <c r="T152" s="40"/>
      <c r="U152" s="39"/>
      <c r="V152" s="39"/>
      <c r="W152" s="41"/>
      <c r="X152" s="42"/>
      <c r="Y152" s="145">
        <f>SUM(I152:X153)</f>
        <v>0</v>
      </c>
      <c r="Z152" s="116">
        <f>COUNTIF(I152:X153,"&gt;0")</f>
        <v>0</v>
      </c>
      <c r="AA152" s="112">
        <f t="shared" ref="AA152" si="2917">H152*Y152</f>
        <v>0</v>
      </c>
      <c r="AB152" s="62">
        <f t="shared" ref="AB152" si="2918">IF(AO152&lt;1000, 0, AO152)</f>
        <v>0</v>
      </c>
      <c r="AC152" s="63">
        <f ca="1">IF(IFERROR($AN152&lt;65,FALSE), IF(B152&lt;&gt;"외국인", ROUNDDOWN(AA152*$AH$1%,-1), IF(AND(AM152&lt;&gt;"", ISNUMBER(SEARCH(LEFT(SUBSTITUTE(AM152, "-",""),2), "F2_F5_F6"))), ROUNDDOWN(AA152*$AH$1%,-1), 0)),0)</f>
        <v>0</v>
      </c>
      <c r="AD152" s="64">
        <f t="shared" ref="AD152" si="2919">IF(Z152&gt;=$AJ$1,ROUNDDOWN(AA152*$AH$2%,-1),0)</f>
        <v>0</v>
      </c>
      <c r="AE152" s="112">
        <f t="shared" ref="AE152" ca="1" si="2920">AB152+AC152+AB153+AC153+AD152+AD153</f>
        <v>0</v>
      </c>
      <c r="AF152" s="112">
        <f t="shared" ref="AF152" ca="1" si="2921">AA152-AE152</f>
        <v>0</v>
      </c>
      <c r="AG152" s="116"/>
      <c r="AH152" s="116"/>
      <c r="AI152" s="116"/>
      <c r="AJ152" s="116"/>
      <c r="AK152" s="149"/>
      <c r="AL152" s="149"/>
      <c r="AM152" s="115"/>
      <c r="AN152" s="113" t="str">
        <f t="shared" ref="AN152" ca="1" si="2922">IFERROR(DATEDIF(DATE(IF(ISNUMBER(FIND(MID( SUBSTITUTE(D152, "-",""), 7, 1), "3478")), 2000, 1900)+MID(D152,1,2), MID(D152,3,2), MID(D152,5,2)), TODAY(), "Y"),"")</f>
        <v/>
      </c>
      <c r="AO152" s="112">
        <f>ROUNDDOWN(SUM(AP152:BE153),-1)</f>
        <v>0</v>
      </c>
      <c r="AP152" s="11">
        <f t="shared" ref="AP152" si="2923">IF($H152*I152&gt;150000,ROUNDDOWN(($H152*I152-150000)*6%*45%,0),0)</f>
        <v>0</v>
      </c>
      <c r="AQ152" s="12">
        <f t="shared" ref="AQ152" si="2924">IF($H152*J152&gt;150000,ROUNDDOWN(($H152*J152-150000)*6%*45%,0),0)</f>
        <v>0</v>
      </c>
      <c r="AR152" s="12">
        <f t="shared" ref="AR152" si="2925">IF($H152*K152&gt;150000,ROUNDDOWN(($H152*K152-150000)*6%*45%,0),0)</f>
        <v>0</v>
      </c>
      <c r="AS152" s="12">
        <f t="shared" ref="AS152" si="2926">IF($H152*L152&gt;150000,ROUNDDOWN(($H152*L152-150000)*6%*45%,0),0)</f>
        <v>0</v>
      </c>
      <c r="AT152" s="12">
        <f t="shared" ref="AT152" si="2927">IF($H152*M152&gt;150000,ROUNDDOWN(($H152*M152-150000)*6%*45%,0),0)</f>
        <v>0</v>
      </c>
      <c r="AU152" s="12">
        <f t="shared" ref="AU152" si="2928">IF($H152*N152&gt;150000,ROUNDDOWN(($H152*N152-150000)*6%*45%,0),0)</f>
        <v>0</v>
      </c>
      <c r="AV152" s="12">
        <f t="shared" ref="AV152" si="2929">IF($H152*O152&gt;150000,ROUNDDOWN(($H152*O152-150000)*6%*45%,0),0)</f>
        <v>0</v>
      </c>
      <c r="AW152" s="12">
        <f t="shared" ref="AW152" si="2930">IF($H152*P152&gt;150000,ROUNDDOWN(($H152*P152-150000)*6%*45%,0),0)</f>
        <v>0</v>
      </c>
      <c r="AX152" s="12">
        <f t="shared" ref="AX152" si="2931">IF($H152*Q152&gt;150000,ROUNDDOWN(($H152*Q152-150000)*6%*45%,0),0)</f>
        <v>0</v>
      </c>
      <c r="AY152" s="12">
        <f t="shared" ref="AY152" si="2932">IF($H152*R152&gt;150000,ROUNDDOWN(($H152*R152-150000)*6%*45%,0),0)</f>
        <v>0</v>
      </c>
      <c r="AZ152" s="12">
        <f t="shared" ref="AZ152" si="2933">IF($H152*S152&gt;150000,ROUNDDOWN(($H152*S152-150000)*6%*45%,0),0)</f>
        <v>0</v>
      </c>
      <c r="BA152" s="12">
        <f t="shared" ref="BA152" si="2934">IF($H152*T152&gt;150000,ROUNDDOWN(($H152*T152-150000)*6%*45%,0),0)</f>
        <v>0</v>
      </c>
      <c r="BB152" s="12">
        <f t="shared" ref="BB152" si="2935">IF($H152*U152&gt;150000,ROUNDDOWN(($H152*U152-150000)*6%*45%,0),0)</f>
        <v>0</v>
      </c>
      <c r="BC152" s="12">
        <f t="shared" ref="BC152" si="2936">IF($H152*V152&gt;150000,ROUNDDOWN(($H152*V152-150000)*6%*45%,0),0)</f>
        <v>0</v>
      </c>
      <c r="BD152" s="13">
        <f t="shared" ref="BD152" si="2937">IF($H152*W152&gt;150000,ROUNDDOWN(($H152*W152-150000)*6%*45%,0),0)</f>
        <v>0</v>
      </c>
      <c r="BE152" s="14"/>
    </row>
    <row r="153" spans="1:58" x14ac:dyDescent="0.3">
      <c r="A153" s="142"/>
      <c r="B153" s="116"/>
      <c r="C153" s="116"/>
      <c r="D153" s="143"/>
      <c r="E153" s="116"/>
      <c r="F153" s="116"/>
      <c r="G153" s="144"/>
      <c r="H153" s="112"/>
      <c r="I153" s="43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5"/>
      <c r="Y153" s="145"/>
      <c r="Z153" s="116"/>
      <c r="AA153" s="112"/>
      <c r="AB153" s="65">
        <f t="shared" ref="AB153" si="2938">ROUNDDOWN(AB152*10%,-1)</f>
        <v>0</v>
      </c>
      <c r="AC153" s="66">
        <f t="shared" ref="AC153" ca="1" si="2939">IFERROR(IF(AND( OR(COUNTIF(I152:X153, "&gt;0")&gt;=$AJ$1, AA152&gt;=$AJ$4),AN152&lt;60,AA152&lt;=$AH$5),ROUNDDOWN(ROUNDDOWN(AA152,-3)*$AH$4%,-1),IF(AND(COUNTIF(I152:X153,"&gt;0")&gt;=$AJ$1,AN152&lt;60,AA152&gt;$AH$5),$AJ$5,0)),0)</f>
        <v>0</v>
      </c>
      <c r="AD153" s="67">
        <f t="shared" ref="AD153" si="2940">IF(Z152&gt;=$AJ$1,ROUNDDOWN(AD152*$AH$3%/($AH$2*2%),-1),0)</f>
        <v>0</v>
      </c>
      <c r="AE153" s="112"/>
      <c r="AF153" s="112"/>
      <c r="AG153" s="116"/>
      <c r="AH153" s="116"/>
      <c r="AI153" s="116"/>
      <c r="AJ153" s="116"/>
      <c r="AK153" s="149"/>
      <c r="AL153" s="149"/>
      <c r="AM153" s="115"/>
      <c r="AN153" s="113"/>
      <c r="AO153" s="112"/>
      <c r="AP153" s="15">
        <f t="shared" ref="AP153" si="2941">IF($H152*I153&gt;150000,ROUNDDOWN(($H152*I153-150000)*6%*45%,0),0)</f>
        <v>0</v>
      </c>
      <c r="AQ153" s="16">
        <f t="shared" ref="AQ153" si="2942">IF($H152*J153&gt;150000,ROUNDDOWN(($H152*J153-150000)*6%*45%,0),0)</f>
        <v>0</v>
      </c>
      <c r="AR153" s="16">
        <f t="shared" ref="AR153" si="2943">IF($H152*K153&gt;150000,ROUNDDOWN(($H152*K153-150000)*6%*45%,0),0)</f>
        <v>0</v>
      </c>
      <c r="AS153" s="16">
        <f t="shared" ref="AS153" si="2944">IF($H152*L153&gt;150000,ROUNDDOWN(($H152*L153-150000)*6%*45%,0),0)</f>
        <v>0</v>
      </c>
      <c r="AT153" s="16">
        <f t="shared" ref="AT153" si="2945">IF($H152*M153&gt;150000,ROUNDDOWN(($H152*M153-150000)*6%*45%,0),0)</f>
        <v>0</v>
      </c>
      <c r="AU153" s="16">
        <f t="shared" ref="AU153" si="2946">IF($H152*N153&gt;150000,ROUNDDOWN(($H152*N153-150000)*6%*45%,0),0)</f>
        <v>0</v>
      </c>
      <c r="AV153" s="16">
        <f t="shared" ref="AV153" si="2947">IF($H152*O153&gt;150000,ROUNDDOWN(($H152*O153-150000)*6%*45%,0),0)</f>
        <v>0</v>
      </c>
      <c r="AW153" s="16">
        <f t="shared" ref="AW153" si="2948">IF($H152*P153&gt;150000,ROUNDDOWN(($H152*P153-150000)*6%*45%,0),0)</f>
        <v>0</v>
      </c>
      <c r="AX153" s="16">
        <f t="shared" ref="AX153" si="2949">IF($H152*Q153&gt;150000,ROUNDDOWN(($H152*Q153-150000)*6%*45%,0),0)</f>
        <v>0</v>
      </c>
      <c r="AY153" s="16">
        <f t="shared" ref="AY153" si="2950">IF($H152*R153&gt;150000,ROUNDDOWN(($H152*R153-150000)*6%*45%,0),0)</f>
        <v>0</v>
      </c>
      <c r="AZ153" s="16">
        <f t="shared" ref="AZ153" si="2951">IF($H152*S153&gt;150000,ROUNDDOWN(($H152*S153-150000)*6%*45%,0),0)</f>
        <v>0</v>
      </c>
      <c r="BA153" s="16">
        <f t="shared" ref="BA153" si="2952">IF($H152*T153&gt;150000,ROUNDDOWN(($H152*T153-150000)*6%*45%,0),0)</f>
        <v>0</v>
      </c>
      <c r="BB153" s="16">
        <f t="shared" ref="BB153" si="2953">IF($H152*U153&gt;150000,ROUNDDOWN(($H152*U153-150000)*6%*45%,0),0)</f>
        <v>0</v>
      </c>
      <c r="BC153" s="16">
        <f t="shared" ref="BC153" si="2954">IF($H152*V153&gt;150000,ROUNDDOWN(($H152*V153-150000)*6%*45%,0),0)</f>
        <v>0</v>
      </c>
      <c r="BD153" s="16">
        <f t="shared" ref="BD153" si="2955">IF($H152*W153&gt;150000,ROUNDDOWN(($H152*W153-150000)*6%*45%,0),0)</f>
        <v>0</v>
      </c>
      <c r="BE153" s="17">
        <f t="shared" ref="BE153" si="2956">IF($H152*X153&gt;150000,ROUNDDOWN(($H152*X153-150000)*6%*45%,0),0)</f>
        <v>0</v>
      </c>
      <c r="BF153" s="28"/>
    </row>
    <row r="154" spans="1:58" x14ac:dyDescent="0.3">
      <c r="A154" s="142">
        <v>74</v>
      </c>
      <c r="B154" s="116" t="str">
        <f t="shared" ref="B154" si="2957">IF(LEN(D154)&gt;1,IF(VALUE(MID(RIGHT(D154,7),1,1))&gt;4,"외국인",IF(VALUE(RIGHT(11-MOD((MID(D154,1,1)*2+MID(D154,2,1)*3+MID(D154,3,1)*4+MID(D154,4,1)*5+MID(D154,5,1)*6+MID(D154,6,1)*7+MID(RIGHT(D154,7),1,1)*8+MID(RIGHT(D154,7),2,1)*9+MID(RIGHT(D154,7),3,1)*2+MID(RIGHT(D154,7),4,1)*3+MID(RIGHT(D154,7),5,1)*4+MID(RIGHT(D154,7),6,1)*5),11),1))=VALUE(RIGHT(D154,1)),"","오류")),"")</f>
        <v/>
      </c>
      <c r="C154" s="116"/>
      <c r="D154" s="143"/>
      <c r="E154" s="116"/>
      <c r="F154" s="116"/>
      <c r="G154" s="144"/>
      <c r="H154" s="112"/>
      <c r="I154" s="38"/>
      <c r="J154" s="39"/>
      <c r="K154" s="39"/>
      <c r="L154" s="39"/>
      <c r="M154" s="39"/>
      <c r="N154" s="39"/>
      <c r="O154" s="39"/>
      <c r="P154" s="39"/>
      <c r="Q154" s="39"/>
      <c r="R154" s="39"/>
      <c r="S154" s="40"/>
      <c r="T154" s="40"/>
      <c r="U154" s="39"/>
      <c r="V154" s="39"/>
      <c r="W154" s="41"/>
      <c r="X154" s="42"/>
      <c r="Y154" s="145">
        <f>SUM(I154:X155)</f>
        <v>0</v>
      </c>
      <c r="Z154" s="116">
        <f>COUNTIF(I154:X155,"&gt;0")</f>
        <v>0</v>
      </c>
      <c r="AA154" s="112">
        <f t="shared" ref="AA154" si="2958">H154*Y154</f>
        <v>0</v>
      </c>
      <c r="AB154" s="62">
        <f t="shared" ref="AB154" si="2959">IF(AO154&lt;1000, 0, AO154)</f>
        <v>0</v>
      </c>
      <c r="AC154" s="63">
        <f ca="1">IF(IFERROR($AN154&lt;65,FALSE), IF(B154&lt;&gt;"외국인", ROUNDDOWN(AA154*$AH$1%,-1), IF(AND(AM154&lt;&gt;"", ISNUMBER(SEARCH(LEFT(SUBSTITUTE(AM154, "-",""),2), "F2_F5_F6"))), ROUNDDOWN(AA154*$AH$1%,-1), 0)),0)</f>
        <v>0</v>
      </c>
      <c r="AD154" s="64">
        <f t="shared" ref="AD154" si="2960">IF(Z154&gt;=$AJ$1,ROUNDDOWN(AA154*$AH$2%,-1),0)</f>
        <v>0</v>
      </c>
      <c r="AE154" s="112">
        <f t="shared" ref="AE154" ca="1" si="2961">AB154+AC154+AB155+AC155+AD154+AD155</f>
        <v>0</v>
      </c>
      <c r="AF154" s="112">
        <f t="shared" ref="AF154" ca="1" si="2962">AA154-AE154</f>
        <v>0</v>
      </c>
      <c r="AG154" s="116"/>
      <c r="AH154" s="116"/>
      <c r="AI154" s="116"/>
      <c r="AJ154" s="116"/>
      <c r="AK154" s="149"/>
      <c r="AL154" s="149"/>
      <c r="AM154" s="115"/>
      <c r="AN154" s="113" t="str">
        <f t="shared" ref="AN154" ca="1" si="2963">IFERROR(DATEDIF(DATE(IF(ISNUMBER(FIND(MID( SUBSTITUTE(D154, "-",""), 7, 1), "3478")), 2000, 1900)+MID(D154,1,2), MID(D154,3,2), MID(D154,5,2)), TODAY(), "Y"),"")</f>
        <v/>
      </c>
      <c r="AO154" s="112">
        <f>ROUNDDOWN(SUM(AP154:BE155),-1)</f>
        <v>0</v>
      </c>
      <c r="AP154" s="11">
        <f t="shared" ref="AP154" si="2964">IF($H154*I154&gt;150000,ROUNDDOWN(($H154*I154-150000)*6%*45%,0),0)</f>
        <v>0</v>
      </c>
      <c r="AQ154" s="12">
        <f t="shared" ref="AQ154" si="2965">IF($H154*J154&gt;150000,ROUNDDOWN(($H154*J154-150000)*6%*45%,0),0)</f>
        <v>0</v>
      </c>
      <c r="AR154" s="12">
        <f t="shared" ref="AR154" si="2966">IF($H154*K154&gt;150000,ROUNDDOWN(($H154*K154-150000)*6%*45%,0),0)</f>
        <v>0</v>
      </c>
      <c r="AS154" s="12">
        <f t="shared" ref="AS154" si="2967">IF($H154*L154&gt;150000,ROUNDDOWN(($H154*L154-150000)*6%*45%,0),0)</f>
        <v>0</v>
      </c>
      <c r="AT154" s="12">
        <f t="shared" ref="AT154" si="2968">IF($H154*M154&gt;150000,ROUNDDOWN(($H154*M154-150000)*6%*45%,0),0)</f>
        <v>0</v>
      </c>
      <c r="AU154" s="12">
        <f t="shared" ref="AU154" si="2969">IF($H154*N154&gt;150000,ROUNDDOWN(($H154*N154-150000)*6%*45%,0),0)</f>
        <v>0</v>
      </c>
      <c r="AV154" s="12">
        <f t="shared" ref="AV154" si="2970">IF($H154*O154&gt;150000,ROUNDDOWN(($H154*O154-150000)*6%*45%,0),0)</f>
        <v>0</v>
      </c>
      <c r="AW154" s="12">
        <f t="shared" ref="AW154" si="2971">IF($H154*P154&gt;150000,ROUNDDOWN(($H154*P154-150000)*6%*45%,0),0)</f>
        <v>0</v>
      </c>
      <c r="AX154" s="12">
        <f t="shared" ref="AX154" si="2972">IF($H154*Q154&gt;150000,ROUNDDOWN(($H154*Q154-150000)*6%*45%,0),0)</f>
        <v>0</v>
      </c>
      <c r="AY154" s="12">
        <f t="shared" ref="AY154" si="2973">IF($H154*R154&gt;150000,ROUNDDOWN(($H154*R154-150000)*6%*45%,0),0)</f>
        <v>0</v>
      </c>
      <c r="AZ154" s="12">
        <f t="shared" ref="AZ154" si="2974">IF($H154*S154&gt;150000,ROUNDDOWN(($H154*S154-150000)*6%*45%,0),0)</f>
        <v>0</v>
      </c>
      <c r="BA154" s="12">
        <f t="shared" ref="BA154" si="2975">IF($H154*T154&gt;150000,ROUNDDOWN(($H154*T154-150000)*6%*45%,0),0)</f>
        <v>0</v>
      </c>
      <c r="BB154" s="12">
        <f t="shared" ref="BB154" si="2976">IF($H154*U154&gt;150000,ROUNDDOWN(($H154*U154-150000)*6%*45%,0),0)</f>
        <v>0</v>
      </c>
      <c r="BC154" s="12">
        <f t="shared" ref="BC154" si="2977">IF($H154*V154&gt;150000,ROUNDDOWN(($H154*V154-150000)*6%*45%,0),0)</f>
        <v>0</v>
      </c>
      <c r="BD154" s="13">
        <f t="shared" ref="BD154" si="2978">IF($H154*W154&gt;150000,ROUNDDOWN(($H154*W154-150000)*6%*45%,0),0)</f>
        <v>0</v>
      </c>
      <c r="BE154" s="14"/>
    </row>
    <row r="155" spans="1:58" x14ac:dyDescent="0.3">
      <c r="A155" s="142"/>
      <c r="B155" s="116"/>
      <c r="C155" s="116"/>
      <c r="D155" s="143"/>
      <c r="E155" s="116"/>
      <c r="F155" s="116"/>
      <c r="G155" s="144"/>
      <c r="H155" s="112"/>
      <c r="I155" s="43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5"/>
      <c r="Y155" s="145"/>
      <c r="Z155" s="116"/>
      <c r="AA155" s="112"/>
      <c r="AB155" s="65">
        <f t="shared" ref="AB155" si="2979">ROUNDDOWN(AB154*10%,-1)</f>
        <v>0</v>
      </c>
      <c r="AC155" s="66">
        <f t="shared" ref="AC155" ca="1" si="2980">IFERROR(IF(AND( OR(COUNTIF(I154:X155, "&gt;0")&gt;=$AJ$1, AA154&gt;=$AJ$4),AN154&lt;60,AA154&lt;=$AH$5),ROUNDDOWN(ROUNDDOWN(AA154,-3)*$AH$4%,-1),IF(AND(COUNTIF(I154:X155,"&gt;0")&gt;=$AJ$1,AN154&lt;60,AA154&gt;$AH$5),$AJ$5,0)),0)</f>
        <v>0</v>
      </c>
      <c r="AD155" s="67">
        <f t="shared" ref="AD155" si="2981">IF(Z154&gt;=$AJ$1,ROUNDDOWN(AD154*$AH$3%/($AH$2*2%),-1),0)</f>
        <v>0</v>
      </c>
      <c r="AE155" s="112"/>
      <c r="AF155" s="112"/>
      <c r="AG155" s="116"/>
      <c r="AH155" s="116"/>
      <c r="AI155" s="116"/>
      <c r="AJ155" s="116"/>
      <c r="AK155" s="149"/>
      <c r="AL155" s="149"/>
      <c r="AM155" s="115"/>
      <c r="AN155" s="113"/>
      <c r="AO155" s="112"/>
      <c r="AP155" s="15">
        <f t="shared" ref="AP155" si="2982">IF($H154*I155&gt;150000,ROUNDDOWN(($H154*I155-150000)*6%*45%,0),0)</f>
        <v>0</v>
      </c>
      <c r="AQ155" s="16">
        <f t="shared" ref="AQ155" si="2983">IF($H154*J155&gt;150000,ROUNDDOWN(($H154*J155-150000)*6%*45%,0),0)</f>
        <v>0</v>
      </c>
      <c r="AR155" s="16">
        <f t="shared" ref="AR155" si="2984">IF($H154*K155&gt;150000,ROUNDDOWN(($H154*K155-150000)*6%*45%,0),0)</f>
        <v>0</v>
      </c>
      <c r="AS155" s="16">
        <f t="shared" ref="AS155" si="2985">IF($H154*L155&gt;150000,ROUNDDOWN(($H154*L155-150000)*6%*45%,0),0)</f>
        <v>0</v>
      </c>
      <c r="AT155" s="16">
        <f t="shared" ref="AT155" si="2986">IF($H154*M155&gt;150000,ROUNDDOWN(($H154*M155-150000)*6%*45%,0),0)</f>
        <v>0</v>
      </c>
      <c r="AU155" s="16">
        <f t="shared" ref="AU155" si="2987">IF($H154*N155&gt;150000,ROUNDDOWN(($H154*N155-150000)*6%*45%,0),0)</f>
        <v>0</v>
      </c>
      <c r="AV155" s="16">
        <f t="shared" ref="AV155" si="2988">IF($H154*O155&gt;150000,ROUNDDOWN(($H154*O155-150000)*6%*45%,0),0)</f>
        <v>0</v>
      </c>
      <c r="AW155" s="16">
        <f t="shared" ref="AW155" si="2989">IF($H154*P155&gt;150000,ROUNDDOWN(($H154*P155-150000)*6%*45%,0),0)</f>
        <v>0</v>
      </c>
      <c r="AX155" s="16">
        <f t="shared" ref="AX155" si="2990">IF($H154*Q155&gt;150000,ROUNDDOWN(($H154*Q155-150000)*6%*45%,0),0)</f>
        <v>0</v>
      </c>
      <c r="AY155" s="16">
        <f t="shared" ref="AY155" si="2991">IF($H154*R155&gt;150000,ROUNDDOWN(($H154*R155-150000)*6%*45%,0),0)</f>
        <v>0</v>
      </c>
      <c r="AZ155" s="16">
        <f t="shared" ref="AZ155" si="2992">IF($H154*S155&gt;150000,ROUNDDOWN(($H154*S155-150000)*6%*45%,0),0)</f>
        <v>0</v>
      </c>
      <c r="BA155" s="16">
        <f t="shared" ref="BA155" si="2993">IF($H154*T155&gt;150000,ROUNDDOWN(($H154*T155-150000)*6%*45%,0),0)</f>
        <v>0</v>
      </c>
      <c r="BB155" s="16">
        <f t="shared" ref="BB155" si="2994">IF($H154*U155&gt;150000,ROUNDDOWN(($H154*U155-150000)*6%*45%,0),0)</f>
        <v>0</v>
      </c>
      <c r="BC155" s="16">
        <f t="shared" ref="BC155" si="2995">IF($H154*V155&gt;150000,ROUNDDOWN(($H154*V155-150000)*6%*45%,0),0)</f>
        <v>0</v>
      </c>
      <c r="BD155" s="16">
        <f t="shared" ref="BD155" si="2996">IF($H154*W155&gt;150000,ROUNDDOWN(($H154*W155-150000)*6%*45%,0),0)</f>
        <v>0</v>
      </c>
      <c r="BE155" s="17">
        <f t="shared" ref="BE155" si="2997">IF($H154*X155&gt;150000,ROUNDDOWN(($H154*X155-150000)*6%*45%,0),0)</f>
        <v>0</v>
      </c>
      <c r="BF155" s="28"/>
    </row>
    <row r="156" spans="1:58" x14ac:dyDescent="0.3">
      <c r="A156" s="142">
        <v>75</v>
      </c>
      <c r="B156" s="116" t="str">
        <f t="shared" ref="B156" si="2998">IF(LEN(D156)&gt;1,IF(VALUE(MID(RIGHT(D156,7),1,1))&gt;4,"외국인",IF(VALUE(RIGHT(11-MOD((MID(D156,1,1)*2+MID(D156,2,1)*3+MID(D156,3,1)*4+MID(D156,4,1)*5+MID(D156,5,1)*6+MID(D156,6,1)*7+MID(RIGHT(D156,7),1,1)*8+MID(RIGHT(D156,7),2,1)*9+MID(RIGHT(D156,7),3,1)*2+MID(RIGHT(D156,7),4,1)*3+MID(RIGHT(D156,7),5,1)*4+MID(RIGHT(D156,7),6,1)*5),11),1))=VALUE(RIGHT(D156,1)),"","오류")),"")</f>
        <v/>
      </c>
      <c r="C156" s="116"/>
      <c r="D156" s="143"/>
      <c r="E156" s="116"/>
      <c r="F156" s="116"/>
      <c r="G156" s="144"/>
      <c r="H156" s="112"/>
      <c r="I156" s="38"/>
      <c r="J156" s="39"/>
      <c r="K156" s="39"/>
      <c r="L156" s="39"/>
      <c r="M156" s="39"/>
      <c r="N156" s="39"/>
      <c r="O156" s="39"/>
      <c r="P156" s="39"/>
      <c r="Q156" s="39"/>
      <c r="R156" s="39"/>
      <c r="S156" s="40"/>
      <c r="T156" s="40"/>
      <c r="U156" s="39"/>
      <c r="V156" s="39"/>
      <c r="W156" s="41"/>
      <c r="X156" s="42"/>
      <c r="Y156" s="145">
        <f>SUM(I156:X157)</f>
        <v>0</v>
      </c>
      <c r="Z156" s="116">
        <f>COUNTIF(I156:X157,"&gt;0")</f>
        <v>0</v>
      </c>
      <c r="AA156" s="112">
        <f t="shared" ref="AA156" si="2999">H156*Y156</f>
        <v>0</v>
      </c>
      <c r="AB156" s="62">
        <f t="shared" ref="AB156" si="3000">IF(AO156&lt;1000, 0, AO156)</f>
        <v>0</v>
      </c>
      <c r="AC156" s="63">
        <f ca="1">IF(IFERROR($AN156&lt;65,FALSE), IF(B156&lt;&gt;"외국인", ROUNDDOWN(AA156*$AH$1%,-1), IF(AND(AM156&lt;&gt;"", ISNUMBER(SEARCH(LEFT(SUBSTITUTE(AM156, "-",""),2), "F2_F5_F6"))), ROUNDDOWN(AA156*$AH$1%,-1), 0)),0)</f>
        <v>0</v>
      </c>
      <c r="AD156" s="64">
        <f t="shared" ref="AD156" si="3001">IF(Z156&gt;=$AJ$1,ROUNDDOWN(AA156*$AH$2%,-1),0)</f>
        <v>0</v>
      </c>
      <c r="AE156" s="112">
        <f t="shared" ref="AE156" ca="1" si="3002">AB156+AC156+AB157+AC157+AD156+AD157</f>
        <v>0</v>
      </c>
      <c r="AF156" s="112">
        <f t="shared" ref="AF156" ca="1" si="3003">AA156-AE156</f>
        <v>0</v>
      </c>
      <c r="AG156" s="116"/>
      <c r="AH156" s="116"/>
      <c r="AI156" s="116"/>
      <c r="AJ156" s="116"/>
      <c r="AK156" s="149"/>
      <c r="AL156" s="149"/>
      <c r="AM156" s="115"/>
      <c r="AN156" s="113" t="str">
        <f t="shared" ref="AN156" ca="1" si="3004">IFERROR(DATEDIF(DATE(IF(ISNUMBER(FIND(MID( SUBSTITUTE(D156, "-",""), 7, 1), "3478")), 2000, 1900)+MID(D156,1,2), MID(D156,3,2), MID(D156,5,2)), TODAY(), "Y"),"")</f>
        <v/>
      </c>
      <c r="AO156" s="112">
        <f>ROUNDDOWN(SUM(AP156:BE157),-1)</f>
        <v>0</v>
      </c>
      <c r="AP156" s="11">
        <f t="shared" ref="AP156" si="3005">IF($H156*I156&gt;150000,ROUNDDOWN(($H156*I156-150000)*6%*45%,0),0)</f>
        <v>0</v>
      </c>
      <c r="AQ156" s="12">
        <f t="shared" ref="AQ156" si="3006">IF($H156*J156&gt;150000,ROUNDDOWN(($H156*J156-150000)*6%*45%,0),0)</f>
        <v>0</v>
      </c>
      <c r="AR156" s="12">
        <f t="shared" ref="AR156" si="3007">IF($H156*K156&gt;150000,ROUNDDOWN(($H156*K156-150000)*6%*45%,0),0)</f>
        <v>0</v>
      </c>
      <c r="AS156" s="12">
        <f t="shared" ref="AS156" si="3008">IF($H156*L156&gt;150000,ROUNDDOWN(($H156*L156-150000)*6%*45%,0),0)</f>
        <v>0</v>
      </c>
      <c r="AT156" s="12">
        <f t="shared" ref="AT156" si="3009">IF($H156*M156&gt;150000,ROUNDDOWN(($H156*M156-150000)*6%*45%,0),0)</f>
        <v>0</v>
      </c>
      <c r="AU156" s="12">
        <f t="shared" ref="AU156" si="3010">IF($H156*N156&gt;150000,ROUNDDOWN(($H156*N156-150000)*6%*45%,0),0)</f>
        <v>0</v>
      </c>
      <c r="AV156" s="12">
        <f t="shared" ref="AV156" si="3011">IF($H156*O156&gt;150000,ROUNDDOWN(($H156*O156-150000)*6%*45%,0),0)</f>
        <v>0</v>
      </c>
      <c r="AW156" s="12">
        <f t="shared" ref="AW156" si="3012">IF($H156*P156&gt;150000,ROUNDDOWN(($H156*P156-150000)*6%*45%,0),0)</f>
        <v>0</v>
      </c>
      <c r="AX156" s="12">
        <f t="shared" ref="AX156" si="3013">IF($H156*Q156&gt;150000,ROUNDDOWN(($H156*Q156-150000)*6%*45%,0),0)</f>
        <v>0</v>
      </c>
      <c r="AY156" s="12">
        <f t="shared" ref="AY156" si="3014">IF($H156*R156&gt;150000,ROUNDDOWN(($H156*R156-150000)*6%*45%,0),0)</f>
        <v>0</v>
      </c>
      <c r="AZ156" s="12">
        <f t="shared" ref="AZ156" si="3015">IF($H156*S156&gt;150000,ROUNDDOWN(($H156*S156-150000)*6%*45%,0),0)</f>
        <v>0</v>
      </c>
      <c r="BA156" s="12">
        <f t="shared" ref="BA156" si="3016">IF($H156*T156&gt;150000,ROUNDDOWN(($H156*T156-150000)*6%*45%,0),0)</f>
        <v>0</v>
      </c>
      <c r="BB156" s="12">
        <f t="shared" ref="BB156" si="3017">IF($H156*U156&gt;150000,ROUNDDOWN(($H156*U156-150000)*6%*45%,0),0)</f>
        <v>0</v>
      </c>
      <c r="BC156" s="12">
        <f t="shared" ref="BC156" si="3018">IF($H156*V156&gt;150000,ROUNDDOWN(($H156*V156-150000)*6%*45%,0),0)</f>
        <v>0</v>
      </c>
      <c r="BD156" s="13">
        <f t="shared" ref="BD156" si="3019">IF($H156*W156&gt;150000,ROUNDDOWN(($H156*W156-150000)*6%*45%,0),0)</f>
        <v>0</v>
      </c>
      <c r="BE156" s="14"/>
    </row>
    <row r="157" spans="1:58" x14ac:dyDescent="0.3">
      <c r="A157" s="142"/>
      <c r="B157" s="116"/>
      <c r="C157" s="116"/>
      <c r="D157" s="143"/>
      <c r="E157" s="116"/>
      <c r="F157" s="116"/>
      <c r="G157" s="144"/>
      <c r="H157" s="112"/>
      <c r="I157" s="43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5"/>
      <c r="Y157" s="145"/>
      <c r="Z157" s="116"/>
      <c r="AA157" s="112"/>
      <c r="AB157" s="65">
        <f t="shared" ref="AB157" si="3020">ROUNDDOWN(AB156*10%,-1)</f>
        <v>0</v>
      </c>
      <c r="AC157" s="66">
        <f t="shared" ref="AC157" ca="1" si="3021">IFERROR(IF(AND( OR(COUNTIF(I156:X157, "&gt;0")&gt;=$AJ$1, AA156&gt;=$AJ$4),AN156&lt;60,AA156&lt;=$AH$5),ROUNDDOWN(ROUNDDOWN(AA156,-3)*$AH$4%,-1),IF(AND(COUNTIF(I156:X157,"&gt;0")&gt;=$AJ$1,AN156&lt;60,AA156&gt;$AH$5),$AJ$5,0)),0)</f>
        <v>0</v>
      </c>
      <c r="AD157" s="67">
        <f t="shared" ref="AD157" si="3022">IF(Z156&gt;=$AJ$1,ROUNDDOWN(AD156*$AH$3%/($AH$2*2%),-1),0)</f>
        <v>0</v>
      </c>
      <c r="AE157" s="112"/>
      <c r="AF157" s="112"/>
      <c r="AG157" s="116"/>
      <c r="AH157" s="116"/>
      <c r="AI157" s="116"/>
      <c r="AJ157" s="116"/>
      <c r="AK157" s="149"/>
      <c r="AL157" s="149"/>
      <c r="AM157" s="115"/>
      <c r="AN157" s="113"/>
      <c r="AO157" s="112"/>
      <c r="AP157" s="15">
        <f t="shared" ref="AP157" si="3023">IF($H156*I157&gt;150000,ROUNDDOWN(($H156*I157-150000)*6%*45%,0),0)</f>
        <v>0</v>
      </c>
      <c r="AQ157" s="16">
        <f t="shared" ref="AQ157" si="3024">IF($H156*J157&gt;150000,ROUNDDOWN(($H156*J157-150000)*6%*45%,0),0)</f>
        <v>0</v>
      </c>
      <c r="AR157" s="16">
        <f t="shared" ref="AR157" si="3025">IF($H156*K157&gt;150000,ROUNDDOWN(($H156*K157-150000)*6%*45%,0),0)</f>
        <v>0</v>
      </c>
      <c r="AS157" s="16">
        <f t="shared" ref="AS157" si="3026">IF($H156*L157&gt;150000,ROUNDDOWN(($H156*L157-150000)*6%*45%,0),0)</f>
        <v>0</v>
      </c>
      <c r="AT157" s="16">
        <f t="shared" ref="AT157" si="3027">IF($H156*M157&gt;150000,ROUNDDOWN(($H156*M157-150000)*6%*45%,0),0)</f>
        <v>0</v>
      </c>
      <c r="AU157" s="16">
        <f t="shared" ref="AU157" si="3028">IF($H156*N157&gt;150000,ROUNDDOWN(($H156*N157-150000)*6%*45%,0),0)</f>
        <v>0</v>
      </c>
      <c r="AV157" s="16">
        <f t="shared" ref="AV157" si="3029">IF($H156*O157&gt;150000,ROUNDDOWN(($H156*O157-150000)*6%*45%,0),0)</f>
        <v>0</v>
      </c>
      <c r="AW157" s="16">
        <f t="shared" ref="AW157" si="3030">IF($H156*P157&gt;150000,ROUNDDOWN(($H156*P157-150000)*6%*45%,0),0)</f>
        <v>0</v>
      </c>
      <c r="AX157" s="16">
        <f t="shared" ref="AX157" si="3031">IF($H156*Q157&gt;150000,ROUNDDOWN(($H156*Q157-150000)*6%*45%,0),0)</f>
        <v>0</v>
      </c>
      <c r="AY157" s="16">
        <f t="shared" ref="AY157" si="3032">IF($H156*R157&gt;150000,ROUNDDOWN(($H156*R157-150000)*6%*45%,0),0)</f>
        <v>0</v>
      </c>
      <c r="AZ157" s="16">
        <f t="shared" ref="AZ157" si="3033">IF($H156*S157&gt;150000,ROUNDDOWN(($H156*S157-150000)*6%*45%,0),0)</f>
        <v>0</v>
      </c>
      <c r="BA157" s="16">
        <f t="shared" ref="BA157" si="3034">IF($H156*T157&gt;150000,ROUNDDOWN(($H156*T157-150000)*6%*45%,0),0)</f>
        <v>0</v>
      </c>
      <c r="BB157" s="16">
        <f t="shared" ref="BB157" si="3035">IF($H156*U157&gt;150000,ROUNDDOWN(($H156*U157-150000)*6%*45%,0),0)</f>
        <v>0</v>
      </c>
      <c r="BC157" s="16">
        <f t="shared" ref="BC157" si="3036">IF($H156*V157&gt;150000,ROUNDDOWN(($H156*V157-150000)*6%*45%,0),0)</f>
        <v>0</v>
      </c>
      <c r="BD157" s="16">
        <f t="shared" ref="BD157" si="3037">IF($H156*W157&gt;150000,ROUNDDOWN(($H156*W157-150000)*6%*45%,0),0)</f>
        <v>0</v>
      </c>
      <c r="BE157" s="17">
        <f t="shared" ref="BE157" si="3038">IF($H156*X157&gt;150000,ROUNDDOWN(($H156*X157-150000)*6%*45%,0),0)</f>
        <v>0</v>
      </c>
      <c r="BF157" s="28"/>
    </row>
    <row r="158" spans="1:58" x14ac:dyDescent="0.3">
      <c r="A158" s="142">
        <v>76</v>
      </c>
      <c r="B158" s="116" t="str">
        <f t="shared" ref="B158" si="3039">IF(LEN(D158)&gt;1,IF(VALUE(MID(RIGHT(D158,7),1,1))&gt;4,"외국인",IF(VALUE(RIGHT(11-MOD((MID(D158,1,1)*2+MID(D158,2,1)*3+MID(D158,3,1)*4+MID(D158,4,1)*5+MID(D158,5,1)*6+MID(D158,6,1)*7+MID(RIGHT(D158,7),1,1)*8+MID(RIGHT(D158,7),2,1)*9+MID(RIGHT(D158,7),3,1)*2+MID(RIGHT(D158,7),4,1)*3+MID(RIGHT(D158,7),5,1)*4+MID(RIGHT(D158,7),6,1)*5),11),1))=VALUE(RIGHT(D158,1)),"","오류")),"")</f>
        <v/>
      </c>
      <c r="C158" s="116"/>
      <c r="D158" s="143"/>
      <c r="E158" s="116"/>
      <c r="F158" s="116"/>
      <c r="G158" s="144"/>
      <c r="H158" s="112"/>
      <c r="I158" s="38"/>
      <c r="J158" s="39"/>
      <c r="K158" s="39"/>
      <c r="L158" s="39"/>
      <c r="M158" s="39"/>
      <c r="N158" s="39"/>
      <c r="O158" s="39"/>
      <c r="P158" s="39"/>
      <c r="Q158" s="39"/>
      <c r="R158" s="39"/>
      <c r="S158" s="40"/>
      <c r="T158" s="40"/>
      <c r="U158" s="39"/>
      <c r="V158" s="39"/>
      <c r="W158" s="41"/>
      <c r="X158" s="42"/>
      <c r="Y158" s="145">
        <f>SUM(I158:X159)</f>
        <v>0</v>
      </c>
      <c r="Z158" s="116">
        <f>COUNTIF(I158:X159,"&gt;0")</f>
        <v>0</v>
      </c>
      <c r="AA158" s="112">
        <f t="shared" ref="AA158" si="3040">H158*Y158</f>
        <v>0</v>
      </c>
      <c r="AB158" s="62">
        <f t="shared" ref="AB158" si="3041">IF(AO158&lt;1000, 0, AO158)</f>
        <v>0</v>
      </c>
      <c r="AC158" s="63">
        <f ca="1">IF(IFERROR($AN158&lt;65,FALSE), IF(B158&lt;&gt;"외국인", ROUNDDOWN(AA158*$AH$1%,-1), IF(AND(AM158&lt;&gt;"", ISNUMBER(SEARCH(LEFT(SUBSTITUTE(AM158, "-",""),2), "F2_F5_F6"))), ROUNDDOWN(AA158*$AH$1%,-1), 0)),0)</f>
        <v>0</v>
      </c>
      <c r="AD158" s="64">
        <f t="shared" ref="AD158" si="3042">IF(Z158&gt;=$AJ$1,ROUNDDOWN(AA158*$AH$2%,-1),0)</f>
        <v>0</v>
      </c>
      <c r="AE158" s="112">
        <f t="shared" ref="AE158" ca="1" si="3043">AB158+AC158+AB159+AC159+AD158+AD159</f>
        <v>0</v>
      </c>
      <c r="AF158" s="112">
        <f t="shared" ref="AF158" ca="1" si="3044">AA158-AE158</f>
        <v>0</v>
      </c>
      <c r="AG158" s="116"/>
      <c r="AH158" s="116"/>
      <c r="AI158" s="116"/>
      <c r="AJ158" s="116"/>
      <c r="AK158" s="149"/>
      <c r="AL158" s="149"/>
      <c r="AM158" s="115"/>
      <c r="AN158" s="113" t="str">
        <f t="shared" ref="AN158" ca="1" si="3045">IFERROR(DATEDIF(DATE(IF(ISNUMBER(FIND(MID( SUBSTITUTE(D158, "-",""), 7, 1), "3478")), 2000, 1900)+MID(D158,1,2), MID(D158,3,2), MID(D158,5,2)), TODAY(), "Y"),"")</f>
        <v/>
      </c>
      <c r="AO158" s="112">
        <f>ROUNDDOWN(SUM(AP158:BE159),-1)</f>
        <v>0</v>
      </c>
      <c r="AP158" s="11">
        <f t="shared" ref="AP158" si="3046">IF($H158*I158&gt;150000,ROUNDDOWN(($H158*I158-150000)*6%*45%,0),0)</f>
        <v>0</v>
      </c>
      <c r="AQ158" s="12">
        <f t="shared" ref="AQ158" si="3047">IF($H158*J158&gt;150000,ROUNDDOWN(($H158*J158-150000)*6%*45%,0),0)</f>
        <v>0</v>
      </c>
      <c r="AR158" s="12">
        <f t="shared" ref="AR158" si="3048">IF($H158*K158&gt;150000,ROUNDDOWN(($H158*K158-150000)*6%*45%,0),0)</f>
        <v>0</v>
      </c>
      <c r="AS158" s="12">
        <f t="shared" ref="AS158" si="3049">IF($H158*L158&gt;150000,ROUNDDOWN(($H158*L158-150000)*6%*45%,0),0)</f>
        <v>0</v>
      </c>
      <c r="AT158" s="12">
        <f t="shared" ref="AT158" si="3050">IF($H158*M158&gt;150000,ROUNDDOWN(($H158*M158-150000)*6%*45%,0),0)</f>
        <v>0</v>
      </c>
      <c r="AU158" s="12">
        <f t="shared" ref="AU158" si="3051">IF($H158*N158&gt;150000,ROUNDDOWN(($H158*N158-150000)*6%*45%,0),0)</f>
        <v>0</v>
      </c>
      <c r="AV158" s="12">
        <f t="shared" ref="AV158" si="3052">IF($H158*O158&gt;150000,ROUNDDOWN(($H158*O158-150000)*6%*45%,0),0)</f>
        <v>0</v>
      </c>
      <c r="AW158" s="12">
        <f t="shared" ref="AW158" si="3053">IF($H158*P158&gt;150000,ROUNDDOWN(($H158*P158-150000)*6%*45%,0),0)</f>
        <v>0</v>
      </c>
      <c r="AX158" s="12">
        <f t="shared" ref="AX158" si="3054">IF($H158*Q158&gt;150000,ROUNDDOWN(($H158*Q158-150000)*6%*45%,0),0)</f>
        <v>0</v>
      </c>
      <c r="AY158" s="12">
        <f t="shared" ref="AY158" si="3055">IF($H158*R158&gt;150000,ROUNDDOWN(($H158*R158-150000)*6%*45%,0),0)</f>
        <v>0</v>
      </c>
      <c r="AZ158" s="12">
        <f t="shared" ref="AZ158" si="3056">IF($H158*S158&gt;150000,ROUNDDOWN(($H158*S158-150000)*6%*45%,0),0)</f>
        <v>0</v>
      </c>
      <c r="BA158" s="12">
        <f t="shared" ref="BA158" si="3057">IF($H158*T158&gt;150000,ROUNDDOWN(($H158*T158-150000)*6%*45%,0),0)</f>
        <v>0</v>
      </c>
      <c r="BB158" s="12">
        <f t="shared" ref="BB158" si="3058">IF($H158*U158&gt;150000,ROUNDDOWN(($H158*U158-150000)*6%*45%,0),0)</f>
        <v>0</v>
      </c>
      <c r="BC158" s="12">
        <f t="shared" ref="BC158" si="3059">IF($H158*V158&gt;150000,ROUNDDOWN(($H158*V158-150000)*6%*45%,0),0)</f>
        <v>0</v>
      </c>
      <c r="BD158" s="13">
        <f t="shared" ref="BD158" si="3060">IF($H158*W158&gt;150000,ROUNDDOWN(($H158*W158-150000)*6%*45%,0),0)</f>
        <v>0</v>
      </c>
      <c r="BE158" s="14"/>
    </row>
    <row r="159" spans="1:58" x14ac:dyDescent="0.3">
      <c r="A159" s="142"/>
      <c r="B159" s="116"/>
      <c r="C159" s="116"/>
      <c r="D159" s="143"/>
      <c r="E159" s="116"/>
      <c r="F159" s="116"/>
      <c r="G159" s="144"/>
      <c r="H159" s="112"/>
      <c r="I159" s="43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5"/>
      <c r="Y159" s="145"/>
      <c r="Z159" s="116"/>
      <c r="AA159" s="112"/>
      <c r="AB159" s="65">
        <f t="shared" ref="AB159" si="3061">ROUNDDOWN(AB158*10%,-1)</f>
        <v>0</v>
      </c>
      <c r="AC159" s="66">
        <f t="shared" ref="AC159" ca="1" si="3062">IFERROR(IF(AND( OR(COUNTIF(I158:X159, "&gt;0")&gt;=$AJ$1, AA158&gt;=$AJ$4),AN158&lt;60,AA158&lt;=$AH$5),ROUNDDOWN(ROUNDDOWN(AA158,-3)*$AH$4%,-1),IF(AND(COUNTIF(I158:X159,"&gt;0")&gt;=$AJ$1,AN158&lt;60,AA158&gt;$AH$5),$AJ$5,0)),0)</f>
        <v>0</v>
      </c>
      <c r="AD159" s="67">
        <f t="shared" ref="AD159" si="3063">IF(Z158&gt;=$AJ$1,ROUNDDOWN(AD158*$AH$3%/($AH$2*2%),-1),0)</f>
        <v>0</v>
      </c>
      <c r="AE159" s="112"/>
      <c r="AF159" s="112"/>
      <c r="AG159" s="116"/>
      <c r="AH159" s="116"/>
      <c r="AI159" s="116"/>
      <c r="AJ159" s="116"/>
      <c r="AK159" s="149"/>
      <c r="AL159" s="149"/>
      <c r="AM159" s="115"/>
      <c r="AN159" s="113"/>
      <c r="AO159" s="112"/>
      <c r="AP159" s="15">
        <f t="shared" ref="AP159" si="3064">IF($H158*I159&gt;150000,ROUNDDOWN(($H158*I159-150000)*6%*45%,0),0)</f>
        <v>0</v>
      </c>
      <c r="AQ159" s="16">
        <f t="shared" ref="AQ159" si="3065">IF($H158*J159&gt;150000,ROUNDDOWN(($H158*J159-150000)*6%*45%,0),0)</f>
        <v>0</v>
      </c>
      <c r="AR159" s="16">
        <f t="shared" ref="AR159" si="3066">IF($H158*K159&gt;150000,ROUNDDOWN(($H158*K159-150000)*6%*45%,0),0)</f>
        <v>0</v>
      </c>
      <c r="AS159" s="16">
        <f t="shared" ref="AS159" si="3067">IF($H158*L159&gt;150000,ROUNDDOWN(($H158*L159-150000)*6%*45%,0),0)</f>
        <v>0</v>
      </c>
      <c r="AT159" s="16">
        <f t="shared" ref="AT159" si="3068">IF($H158*M159&gt;150000,ROUNDDOWN(($H158*M159-150000)*6%*45%,0),0)</f>
        <v>0</v>
      </c>
      <c r="AU159" s="16">
        <f t="shared" ref="AU159" si="3069">IF($H158*N159&gt;150000,ROUNDDOWN(($H158*N159-150000)*6%*45%,0),0)</f>
        <v>0</v>
      </c>
      <c r="AV159" s="16">
        <f t="shared" ref="AV159" si="3070">IF($H158*O159&gt;150000,ROUNDDOWN(($H158*O159-150000)*6%*45%,0),0)</f>
        <v>0</v>
      </c>
      <c r="AW159" s="16">
        <f t="shared" ref="AW159" si="3071">IF($H158*P159&gt;150000,ROUNDDOWN(($H158*P159-150000)*6%*45%,0),0)</f>
        <v>0</v>
      </c>
      <c r="AX159" s="16">
        <f t="shared" ref="AX159" si="3072">IF($H158*Q159&gt;150000,ROUNDDOWN(($H158*Q159-150000)*6%*45%,0),0)</f>
        <v>0</v>
      </c>
      <c r="AY159" s="16">
        <f t="shared" ref="AY159" si="3073">IF($H158*R159&gt;150000,ROUNDDOWN(($H158*R159-150000)*6%*45%,0),0)</f>
        <v>0</v>
      </c>
      <c r="AZ159" s="16">
        <f t="shared" ref="AZ159" si="3074">IF($H158*S159&gt;150000,ROUNDDOWN(($H158*S159-150000)*6%*45%,0),0)</f>
        <v>0</v>
      </c>
      <c r="BA159" s="16">
        <f t="shared" ref="BA159" si="3075">IF($H158*T159&gt;150000,ROUNDDOWN(($H158*T159-150000)*6%*45%,0),0)</f>
        <v>0</v>
      </c>
      <c r="BB159" s="16">
        <f t="shared" ref="BB159" si="3076">IF($H158*U159&gt;150000,ROUNDDOWN(($H158*U159-150000)*6%*45%,0),0)</f>
        <v>0</v>
      </c>
      <c r="BC159" s="16">
        <f t="shared" ref="BC159" si="3077">IF($H158*V159&gt;150000,ROUNDDOWN(($H158*V159-150000)*6%*45%,0),0)</f>
        <v>0</v>
      </c>
      <c r="BD159" s="16">
        <f t="shared" ref="BD159" si="3078">IF($H158*W159&gt;150000,ROUNDDOWN(($H158*W159-150000)*6%*45%,0),0)</f>
        <v>0</v>
      </c>
      <c r="BE159" s="17">
        <f t="shared" ref="BE159" si="3079">IF($H158*X159&gt;150000,ROUNDDOWN(($H158*X159-150000)*6%*45%,0),0)</f>
        <v>0</v>
      </c>
      <c r="BF159" s="28"/>
    </row>
    <row r="160" spans="1:58" x14ac:dyDescent="0.3">
      <c r="A160" s="142">
        <v>77</v>
      </c>
      <c r="B160" s="116" t="str">
        <f t="shared" ref="B160" si="3080">IF(LEN(D160)&gt;1,IF(VALUE(MID(RIGHT(D160,7),1,1))&gt;4,"외국인",IF(VALUE(RIGHT(11-MOD((MID(D160,1,1)*2+MID(D160,2,1)*3+MID(D160,3,1)*4+MID(D160,4,1)*5+MID(D160,5,1)*6+MID(D160,6,1)*7+MID(RIGHT(D160,7),1,1)*8+MID(RIGHT(D160,7),2,1)*9+MID(RIGHT(D160,7),3,1)*2+MID(RIGHT(D160,7),4,1)*3+MID(RIGHT(D160,7),5,1)*4+MID(RIGHT(D160,7),6,1)*5),11),1))=VALUE(RIGHT(D160,1)),"","오류")),"")</f>
        <v/>
      </c>
      <c r="C160" s="116"/>
      <c r="D160" s="143"/>
      <c r="E160" s="116"/>
      <c r="F160" s="116"/>
      <c r="G160" s="144"/>
      <c r="H160" s="112"/>
      <c r="I160" s="38"/>
      <c r="J160" s="39"/>
      <c r="K160" s="39"/>
      <c r="L160" s="39"/>
      <c r="M160" s="39"/>
      <c r="N160" s="39"/>
      <c r="O160" s="39"/>
      <c r="P160" s="39"/>
      <c r="Q160" s="39"/>
      <c r="R160" s="39"/>
      <c r="S160" s="40"/>
      <c r="T160" s="40"/>
      <c r="U160" s="39"/>
      <c r="V160" s="39"/>
      <c r="W160" s="41"/>
      <c r="X160" s="42"/>
      <c r="Y160" s="145">
        <f>SUM(I160:X161)</f>
        <v>0</v>
      </c>
      <c r="Z160" s="116">
        <f>COUNTIF(I160:X161,"&gt;0")</f>
        <v>0</v>
      </c>
      <c r="AA160" s="112">
        <f t="shared" ref="AA160" si="3081">H160*Y160</f>
        <v>0</v>
      </c>
      <c r="AB160" s="62">
        <f t="shared" ref="AB160" si="3082">IF(AO160&lt;1000, 0, AO160)</f>
        <v>0</v>
      </c>
      <c r="AC160" s="63">
        <f ca="1">IF(IFERROR($AN160&lt;65,FALSE), IF(B160&lt;&gt;"외국인", ROUNDDOWN(AA160*$AH$1%,-1), IF(AND(AM160&lt;&gt;"", ISNUMBER(SEARCH(LEFT(SUBSTITUTE(AM160, "-",""),2), "F2_F5_F6"))), ROUNDDOWN(AA160*$AH$1%,-1), 0)),0)</f>
        <v>0</v>
      </c>
      <c r="AD160" s="64">
        <f t="shared" ref="AD160" si="3083">IF(Z160&gt;=$AJ$1,ROUNDDOWN(AA160*$AH$2%,-1),0)</f>
        <v>0</v>
      </c>
      <c r="AE160" s="112">
        <f t="shared" ref="AE160" ca="1" si="3084">AB160+AC160+AB161+AC161+AD160+AD161</f>
        <v>0</v>
      </c>
      <c r="AF160" s="112">
        <f t="shared" ref="AF160" ca="1" si="3085">AA160-AE160</f>
        <v>0</v>
      </c>
      <c r="AG160" s="116"/>
      <c r="AH160" s="116"/>
      <c r="AI160" s="116"/>
      <c r="AJ160" s="116"/>
      <c r="AK160" s="149"/>
      <c r="AL160" s="149"/>
      <c r="AM160" s="115"/>
      <c r="AN160" s="113" t="str">
        <f t="shared" ref="AN160" ca="1" si="3086">IFERROR(DATEDIF(DATE(IF(ISNUMBER(FIND(MID( SUBSTITUTE(D160, "-",""), 7, 1), "3478")), 2000, 1900)+MID(D160,1,2), MID(D160,3,2), MID(D160,5,2)), TODAY(), "Y"),"")</f>
        <v/>
      </c>
      <c r="AO160" s="112">
        <f>ROUNDDOWN(SUM(AP160:BE161),-1)</f>
        <v>0</v>
      </c>
      <c r="AP160" s="11">
        <f t="shared" ref="AP160" si="3087">IF($H160*I160&gt;150000,ROUNDDOWN(($H160*I160-150000)*6%*45%,0),0)</f>
        <v>0</v>
      </c>
      <c r="AQ160" s="12">
        <f t="shared" ref="AQ160" si="3088">IF($H160*J160&gt;150000,ROUNDDOWN(($H160*J160-150000)*6%*45%,0),0)</f>
        <v>0</v>
      </c>
      <c r="AR160" s="12">
        <f t="shared" ref="AR160" si="3089">IF($H160*K160&gt;150000,ROUNDDOWN(($H160*K160-150000)*6%*45%,0),0)</f>
        <v>0</v>
      </c>
      <c r="AS160" s="12">
        <f t="shared" ref="AS160" si="3090">IF($H160*L160&gt;150000,ROUNDDOWN(($H160*L160-150000)*6%*45%,0),0)</f>
        <v>0</v>
      </c>
      <c r="AT160" s="12">
        <f t="shared" ref="AT160" si="3091">IF($H160*M160&gt;150000,ROUNDDOWN(($H160*M160-150000)*6%*45%,0),0)</f>
        <v>0</v>
      </c>
      <c r="AU160" s="12">
        <f t="shared" ref="AU160" si="3092">IF($H160*N160&gt;150000,ROUNDDOWN(($H160*N160-150000)*6%*45%,0),0)</f>
        <v>0</v>
      </c>
      <c r="AV160" s="12">
        <f t="shared" ref="AV160" si="3093">IF($H160*O160&gt;150000,ROUNDDOWN(($H160*O160-150000)*6%*45%,0),0)</f>
        <v>0</v>
      </c>
      <c r="AW160" s="12">
        <f t="shared" ref="AW160" si="3094">IF($H160*P160&gt;150000,ROUNDDOWN(($H160*P160-150000)*6%*45%,0),0)</f>
        <v>0</v>
      </c>
      <c r="AX160" s="12">
        <f t="shared" ref="AX160" si="3095">IF($H160*Q160&gt;150000,ROUNDDOWN(($H160*Q160-150000)*6%*45%,0),0)</f>
        <v>0</v>
      </c>
      <c r="AY160" s="12">
        <f t="shared" ref="AY160" si="3096">IF($H160*R160&gt;150000,ROUNDDOWN(($H160*R160-150000)*6%*45%,0),0)</f>
        <v>0</v>
      </c>
      <c r="AZ160" s="12">
        <f t="shared" ref="AZ160" si="3097">IF($H160*S160&gt;150000,ROUNDDOWN(($H160*S160-150000)*6%*45%,0),0)</f>
        <v>0</v>
      </c>
      <c r="BA160" s="12">
        <f t="shared" ref="BA160" si="3098">IF($H160*T160&gt;150000,ROUNDDOWN(($H160*T160-150000)*6%*45%,0),0)</f>
        <v>0</v>
      </c>
      <c r="BB160" s="12">
        <f t="shared" ref="BB160" si="3099">IF($H160*U160&gt;150000,ROUNDDOWN(($H160*U160-150000)*6%*45%,0),0)</f>
        <v>0</v>
      </c>
      <c r="BC160" s="12">
        <f t="shared" ref="BC160" si="3100">IF($H160*V160&gt;150000,ROUNDDOWN(($H160*V160-150000)*6%*45%,0),0)</f>
        <v>0</v>
      </c>
      <c r="BD160" s="13">
        <f t="shared" ref="BD160" si="3101">IF($H160*W160&gt;150000,ROUNDDOWN(($H160*W160-150000)*6%*45%,0),0)</f>
        <v>0</v>
      </c>
      <c r="BE160" s="14"/>
    </row>
    <row r="161" spans="1:58" x14ac:dyDescent="0.3">
      <c r="A161" s="142"/>
      <c r="B161" s="116"/>
      <c r="C161" s="116"/>
      <c r="D161" s="143"/>
      <c r="E161" s="116"/>
      <c r="F161" s="116"/>
      <c r="G161" s="144"/>
      <c r="H161" s="112"/>
      <c r="I161" s="43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5"/>
      <c r="Y161" s="145"/>
      <c r="Z161" s="116"/>
      <c r="AA161" s="112"/>
      <c r="AB161" s="65">
        <f t="shared" ref="AB161" si="3102">ROUNDDOWN(AB160*10%,-1)</f>
        <v>0</v>
      </c>
      <c r="AC161" s="66">
        <f t="shared" ref="AC161" ca="1" si="3103">IFERROR(IF(AND( OR(COUNTIF(I160:X161, "&gt;0")&gt;=$AJ$1, AA160&gt;=$AJ$4),AN160&lt;60,AA160&lt;=$AH$5),ROUNDDOWN(ROUNDDOWN(AA160,-3)*$AH$4%,-1),IF(AND(COUNTIF(I160:X161,"&gt;0")&gt;=$AJ$1,AN160&lt;60,AA160&gt;$AH$5),$AJ$5,0)),0)</f>
        <v>0</v>
      </c>
      <c r="AD161" s="67">
        <f t="shared" ref="AD161" si="3104">IF(Z160&gt;=$AJ$1,ROUNDDOWN(AD160*$AH$3%/($AH$2*2%),-1),0)</f>
        <v>0</v>
      </c>
      <c r="AE161" s="112"/>
      <c r="AF161" s="112"/>
      <c r="AG161" s="116"/>
      <c r="AH161" s="116"/>
      <c r="AI161" s="116"/>
      <c r="AJ161" s="116"/>
      <c r="AK161" s="149"/>
      <c r="AL161" s="149"/>
      <c r="AM161" s="115"/>
      <c r="AN161" s="113"/>
      <c r="AO161" s="112"/>
      <c r="AP161" s="15">
        <f t="shared" ref="AP161" si="3105">IF($H160*I161&gt;150000,ROUNDDOWN(($H160*I161-150000)*6%*45%,0),0)</f>
        <v>0</v>
      </c>
      <c r="AQ161" s="16">
        <f t="shared" ref="AQ161" si="3106">IF($H160*J161&gt;150000,ROUNDDOWN(($H160*J161-150000)*6%*45%,0),0)</f>
        <v>0</v>
      </c>
      <c r="AR161" s="16">
        <f t="shared" ref="AR161" si="3107">IF($H160*K161&gt;150000,ROUNDDOWN(($H160*K161-150000)*6%*45%,0),0)</f>
        <v>0</v>
      </c>
      <c r="AS161" s="16">
        <f t="shared" ref="AS161" si="3108">IF($H160*L161&gt;150000,ROUNDDOWN(($H160*L161-150000)*6%*45%,0),0)</f>
        <v>0</v>
      </c>
      <c r="AT161" s="16">
        <f t="shared" ref="AT161" si="3109">IF($H160*M161&gt;150000,ROUNDDOWN(($H160*M161-150000)*6%*45%,0),0)</f>
        <v>0</v>
      </c>
      <c r="AU161" s="16">
        <f t="shared" ref="AU161" si="3110">IF($H160*N161&gt;150000,ROUNDDOWN(($H160*N161-150000)*6%*45%,0),0)</f>
        <v>0</v>
      </c>
      <c r="AV161" s="16">
        <f t="shared" ref="AV161" si="3111">IF($H160*O161&gt;150000,ROUNDDOWN(($H160*O161-150000)*6%*45%,0),0)</f>
        <v>0</v>
      </c>
      <c r="AW161" s="16">
        <f t="shared" ref="AW161" si="3112">IF($H160*P161&gt;150000,ROUNDDOWN(($H160*P161-150000)*6%*45%,0),0)</f>
        <v>0</v>
      </c>
      <c r="AX161" s="16">
        <f t="shared" ref="AX161" si="3113">IF($H160*Q161&gt;150000,ROUNDDOWN(($H160*Q161-150000)*6%*45%,0),0)</f>
        <v>0</v>
      </c>
      <c r="AY161" s="16">
        <f t="shared" ref="AY161" si="3114">IF($H160*R161&gt;150000,ROUNDDOWN(($H160*R161-150000)*6%*45%,0),0)</f>
        <v>0</v>
      </c>
      <c r="AZ161" s="16">
        <f t="shared" ref="AZ161" si="3115">IF($H160*S161&gt;150000,ROUNDDOWN(($H160*S161-150000)*6%*45%,0),0)</f>
        <v>0</v>
      </c>
      <c r="BA161" s="16">
        <f t="shared" ref="BA161" si="3116">IF($H160*T161&gt;150000,ROUNDDOWN(($H160*T161-150000)*6%*45%,0),0)</f>
        <v>0</v>
      </c>
      <c r="BB161" s="16">
        <f t="shared" ref="BB161" si="3117">IF($H160*U161&gt;150000,ROUNDDOWN(($H160*U161-150000)*6%*45%,0),0)</f>
        <v>0</v>
      </c>
      <c r="BC161" s="16">
        <f t="shared" ref="BC161" si="3118">IF($H160*V161&gt;150000,ROUNDDOWN(($H160*V161-150000)*6%*45%,0),0)</f>
        <v>0</v>
      </c>
      <c r="BD161" s="16">
        <f t="shared" ref="BD161" si="3119">IF($H160*W161&gt;150000,ROUNDDOWN(($H160*W161-150000)*6%*45%,0),0)</f>
        <v>0</v>
      </c>
      <c r="BE161" s="17">
        <f t="shared" ref="BE161" si="3120">IF($H160*X161&gt;150000,ROUNDDOWN(($H160*X161-150000)*6%*45%,0),0)</f>
        <v>0</v>
      </c>
      <c r="BF161" s="28"/>
    </row>
    <row r="162" spans="1:58" x14ac:dyDescent="0.3">
      <c r="A162" s="142">
        <v>78</v>
      </c>
      <c r="B162" s="116" t="str">
        <f t="shared" ref="B162" si="3121">IF(LEN(D162)&gt;1,IF(VALUE(MID(RIGHT(D162,7),1,1))&gt;4,"외국인",IF(VALUE(RIGHT(11-MOD((MID(D162,1,1)*2+MID(D162,2,1)*3+MID(D162,3,1)*4+MID(D162,4,1)*5+MID(D162,5,1)*6+MID(D162,6,1)*7+MID(RIGHT(D162,7),1,1)*8+MID(RIGHT(D162,7),2,1)*9+MID(RIGHT(D162,7),3,1)*2+MID(RIGHT(D162,7),4,1)*3+MID(RIGHT(D162,7),5,1)*4+MID(RIGHT(D162,7),6,1)*5),11),1))=VALUE(RIGHT(D162,1)),"","오류")),"")</f>
        <v/>
      </c>
      <c r="C162" s="116"/>
      <c r="D162" s="143"/>
      <c r="E162" s="116"/>
      <c r="F162" s="116"/>
      <c r="G162" s="144"/>
      <c r="H162" s="112"/>
      <c r="I162" s="38"/>
      <c r="J162" s="39"/>
      <c r="K162" s="39"/>
      <c r="L162" s="39"/>
      <c r="M162" s="39"/>
      <c r="N162" s="39"/>
      <c r="O162" s="39"/>
      <c r="P162" s="39"/>
      <c r="Q162" s="39"/>
      <c r="R162" s="39"/>
      <c r="S162" s="40"/>
      <c r="T162" s="40"/>
      <c r="U162" s="39"/>
      <c r="V162" s="39"/>
      <c r="W162" s="41"/>
      <c r="X162" s="42"/>
      <c r="Y162" s="145">
        <f>SUM(I162:X163)</f>
        <v>0</v>
      </c>
      <c r="Z162" s="116">
        <f>COUNTIF(I162:X163,"&gt;0")</f>
        <v>0</v>
      </c>
      <c r="AA162" s="112">
        <f t="shared" ref="AA162" si="3122">H162*Y162</f>
        <v>0</v>
      </c>
      <c r="AB162" s="62">
        <f t="shared" ref="AB162" si="3123">IF(AO162&lt;1000, 0, AO162)</f>
        <v>0</v>
      </c>
      <c r="AC162" s="63">
        <f ca="1">IF(IFERROR($AN162&lt;65,FALSE), IF(B162&lt;&gt;"외국인", ROUNDDOWN(AA162*$AH$1%,-1), IF(AND(AM162&lt;&gt;"", ISNUMBER(SEARCH(LEFT(SUBSTITUTE(AM162, "-",""),2), "F2_F5_F6"))), ROUNDDOWN(AA162*$AH$1%,-1), 0)),0)</f>
        <v>0</v>
      </c>
      <c r="AD162" s="64">
        <f t="shared" ref="AD162" si="3124">IF(Z162&gt;=$AJ$1,ROUNDDOWN(AA162*$AH$2%,-1),0)</f>
        <v>0</v>
      </c>
      <c r="AE162" s="112">
        <f t="shared" ref="AE162" ca="1" si="3125">AB162+AC162+AB163+AC163+AD162+AD163</f>
        <v>0</v>
      </c>
      <c r="AF162" s="112">
        <f t="shared" ref="AF162" ca="1" si="3126">AA162-AE162</f>
        <v>0</v>
      </c>
      <c r="AG162" s="116"/>
      <c r="AH162" s="116"/>
      <c r="AI162" s="116"/>
      <c r="AJ162" s="116"/>
      <c r="AK162" s="149"/>
      <c r="AL162" s="149"/>
      <c r="AM162" s="115"/>
      <c r="AN162" s="113" t="str">
        <f t="shared" ref="AN162" ca="1" si="3127">IFERROR(DATEDIF(DATE(IF(ISNUMBER(FIND(MID( SUBSTITUTE(D162, "-",""), 7, 1), "3478")), 2000, 1900)+MID(D162,1,2), MID(D162,3,2), MID(D162,5,2)), TODAY(), "Y"),"")</f>
        <v/>
      </c>
      <c r="AO162" s="112">
        <f>ROUNDDOWN(SUM(AP162:BE163),-1)</f>
        <v>0</v>
      </c>
      <c r="AP162" s="11">
        <f t="shared" ref="AP162" si="3128">IF($H162*I162&gt;150000,ROUNDDOWN(($H162*I162-150000)*6%*45%,0),0)</f>
        <v>0</v>
      </c>
      <c r="AQ162" s="12">
        <f t="shared" ref="AQ162" si="3129">IF($H162*J162&gt;150000,ROUNDDOWN(($H162*J162-150000)*6%*45%,0),0)</f>
        <v>0</v>
      </c>
      <c r="AR162" s="12">
        <f t="shared" ref="AR162" si="3130">IF($H162*K162&gt;150000,ROUNDDOWN(($H162*K162-150000)*6%*45%,0),0)</f>
        <v>0</v>
      </c>
      <c r="AS162" s="12">
        <f t="shared" ref="AS162" si="3131">IF($H162*L162&gt;150000,ROUNDDOWN(($H162*L162-150000)*6%*45%,0),0)</f>
        <v>0</v>
      </c>
      <c r="AT162" s="12">
        <f t="shared" ref="AT162" si="3132">IF($H162*M162&gt;150000,ROUNDDOWN(($H162*M162-150000)*6%*45%,0),0)</f>
        <v>0</v>
      </c>
      <c r="AU162" s="12">
        <f t="shared" ref="AU162" si="3133">IF($H162*N162&gt;150000,ROUNDDOWN(($H162*N162-150000)*6%*45%,0),0)</f>
        <v>0</v>
      </c>
      <c r="AV162" s="12">
        <f t="shared" ref="AV162" si="3134">IF($H162*O162&gt;150000,ROUNDDOWN(($H162*O162-150000)*6%*45%,0),0)</f>
        <v>0</v>
      </c>
      <c r="AW162" s="12">
        <f t="shared" ref="AW162" si="3135">IF($H162*P162&gt;150000,ROUNDDOWN(($H162*P162-150000)*6%*45%,0),0)</f>
        <v>0</v>
      </c>
      <c r="AX162" s="12">
        <f t="shared" ref="AX162" si="3136">IF($H162*Q162&gt;150000,ROUNDDOWN(($H162*Q162-150000)*6%*45%,0),0)</f>
        <v>0</v>
      </c>
      <c r="AY162" s="12">
        <f t="shared" ref="AY162" si="3137">IF($H162*R162&gt;150000,ROUNDDOWN(($H162*R162-150000)*6%*45%,0),0)</f>
        <v>0</v>
      </c>
      <c r="AZ162" s="12">
        <f t="shared" ref="AZ162" si="3138">IF($H162*S162&gt;150000,ROUNDDOWN(($H162*S162-150000)*6%*45%,0),0)</f>
        <v>0</v>
      </c>
      <c r="BA162" s="12">
        <f t="shared" ref="BA162" si="3139">IF($H162*T162&gt;150000,ROUNDDOWN(($H162*T162-150000)*6%*45%,0),0)</f>
        <v>0</v>
      </c>
      <c r="BB162" s="12">
        <f t="shared" ref="BB162" si="3140">IF($H162*U162&gt;150000,ROUNDDOWN(($H162*U162-150000)*6%*45%,0),0)</f>
        <v>0</v>
      </c>
      <c r="BC162" s="12">
        <f t="shared" ref="BC162" si="3141">IF($H162*V162&gt;150000,ROUNDDOWN(($H162*V162-150000)*6%*45%,0),0)</f>
        <v>0</v>
      </c>
      <c r="BD162" s="13">
        <f t="shared" ref="BD162" si="3142">IF($H162*W162&gt;150000,ROUNDDOWN(($H162*W162-150000)*6%*45%,0),0)</f>
        <v>0</v>
      </c>
      <c r="BE162" s="14"/>
    </row>
    <row r="163" spans="1:58" x14ac:dyDescent="0.3">
      <c r="A163" s="142"/>
      <c r="B163" s="116"/>
      <c r="C163" s="116"/>
      <c r="D163" s="143"/>
      <c r="E163" s="116"/>
      <c r="F163" s="116"/>
      <c r="G163" s="144"/>
      <c r="H163" s="112"/>
      <c r="I163" s="43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5"/>
      <c r="Y163" s="145"/>
      <c r="Z163" s="116"/>
      <c r="AA163" s="112"/>
      <c r="AB163" s="65">
        <f t="shared" ref="AB163" si="3143">ROUNDDOWN(AB162*10%,-1)</f>
        <v>0</v>
      </c>
      <c r="AC163" s="66">
        <f t="shared" ref="AC163" ca="1" si="3144">IFERROR(IF(AND( OR(COUNTIF(I162:X163, "&gt;0")&gt;=$AJ$1, AA162&gt;=$AJ$4),AN162&lt;60,AA162&lt;=$AH$5),ROUNDDOWN(ROUNDDOWN(AA162,-3)*$AH$4%,-1),IF(AND(COUNTIF(I162:X163,"&gt;0")&gt;=$AJ$1,AN162&lt;60,AA162&gt;$AH$5),$AJ$5,0)),0)</f>
        <v>0</v>
      </c>
      <c r="AD163" s="67">
        <f t="shared" ref="AD163" si="3145">IF(Z162&gt;=$AJ$1,ROUNDDOWN(AD162*$AH$3%/($AH$2*2%),-1),0)</f>
        <v>0</v>
      </c>
      <c r="AE163" s="112"/>
      <c r="AF163" s="112"/>
      <c r="AG163" s="116"/>
      <c r="AH163" s="116"/>
      <c r="AI163" s="116"/>
      <c r="AJ163" s="116"/>
      <c r="AK163" s="149"/>
      <c r="AL163" s="149"/>
      <c r="AM163" s="115"/>
      <c r="AN163" s="113"/>
      <c r="AO163" s="112"/>
      <c r="AP163" s="15">
        <f t="shared" ref="AP163" si="3146">IF($H162*I163&gt;150000,ROUNDDOWN(($H162*I163-150000)*6%*45%,0),0)</f>
        <v>0</v>
      </c>
      <c r="AQ163" s="16">
        <f t="shared" ref="AQ163" si="3147">IF($H162*J163&gt;150000,ROUNDDOWN(($H162*J163-150000)*6%*45%,0),0)</f>
        <v>0</v>
      </c>
      <c r="AR163" s="16">
        <f t="shared" ref="AR163" si="3148">IF($H162*K163&gt;150000,ROUNDDOWN(($H162*K163-150000)*6%*45%,0),0)</f>
        <v>0</v>
      </c>
      <c r="AS163" s="16">
        <f t="shared" ref="AS163" si="3149">IF($H162*L163&gt;150000,ROUNDDOWN(($H162*L163-150000)*6%*45%,0),0)</f>
        <v>0</v>
      </c>
      <c r="AT163" s="16">
        <f t="shared" ref="AT163" si="3150">IF($H162*M163&gt;150000,ROUNDDOWN(($H162*M163-150000)*6%*45%,0),0)</f>
        <v>0</v>
      </c>
      <c r="AU163" s="16">
        <f t="shared" ref="AU163" si="3151">IF($H162*N163&gt;150000,ROUNDDOWN(($H162*N163-150000)*6%*45%,0),0)</f>
        <v>0</v>
      </c>
      <c r="AV163" s="16">
        <f t="shared" ref="AV163" si="3152">IF($H162*O163&gt;150000,ROUNDDOWN(($H162*O163-150000)*6%*45%,0),0)</f>
        <v>0</v>
      </c>
      <c r="AW163" s="16">
        <f t="shared" ref="AW163" si="3153">IF($H162*P163&gt;150000,ROUNDDOWN(($H162*P163-150000)*6%*45%,0),0)</f>
        <v>0</v>
      </c>
      <c r="AX163" s="16">
        <f t="shared" ref="AX163" si="3154">IF($H162*Q163&gt;150000,ROUNDDOWN(($H162*Q163-150000)*6%*45%,0),0)</f>
        <v>0</v>
      </c>
      <c r="AY163" s="16">
        <f t="shared" ref="AY163" si="3155">IF($H162*R163&gt;150000,ROUNDDOWN(($H162*R163-150000)*6%*45%,0),0)</f>
        <v>0</v>
      </c>
      <c r="AZ163" s="16">
        <f t="shared" ref="AZ163" si="3156">IF($H162*S163&gt;150000,ROUNDDOWN(($H162*S163-150000)*6%*45%,0),0)</f>
        <v>0</v>
      </c>
      <c r="BA163" s="16">
        <f t="shared" ref="BA163" si="3157">IF($H162*T163&gt;150000,ROUNDDOWN(($H162*T163-150000)*6%*45%,0),0)</f>
        <v>0</v>
      </c>
      <c r="BB163" s="16">
        <f t="shared" ref="BB163" si="3158">IF($H162*U163&gt;150000,ROUNDDOWN(($H162*U163-150000)*6%*45%,0),0)</f>
        <v>0</v>
      </c>
      <c r="BC163" s="16">
        <f t="shared" ref="BC163" si="3159">IF($H162*V163&gt;150000,ROUNDDOWN(($H162*V163-150000)*6%*45%,0),0)</f>
        <v>0</v>
      </c>
      <c r="BD163" s="16">
        <f t="shared" ref="BD163" si="3160">IF($H162*W163&gt;150000,ROUNDDOWN(($H162*W163-150000)*6%*45%,0),0)</f>
        <v>0</v>
      </c>
      <c r="BE163" s="17">
        <f t="shared" ref="BE163" si="3161">IF($H162*X163&gt;150000,ROUNDDOWN(($H162*X163-150000)*6%*45%,0),0)</f>
        <v>0</v>
      </c>
      <c r="BF163" s="28"/>
    </row>
    <row r="164" spans="1:58" x14ac:dyDescent="0.3">
      <c r="A164" s="142">
        <v>79</v>
      </c>
      <c r="B164" s="116" t="str">
        <f t="shared" ref="B164" si="3162">IF(LEN(D164)&gt;1,IF(VALUE(MID(RIGHT(D164,7),1,1))&gt;4,"외국인",IF(VALUE(RIGHT(11-MOD((MID(D164,1,1)*2+MID(D164,2,1)*3+MID(D164,3,1)*4+MID(D164,4,1)*5+MID(D164,5,1)*6+MID(D164,6,1)*7+MID(RIGHT(D164,7),1,1)*8+MID(RIGHT(D164,7),2,1)*9+MID(RIGHT(D164,7),3,1)*2+MID(RIGHT(D164,7),4,1)*3+MID(RIGHT(D164,7),5,1)*4+MID(RIGHT(D164,7),6,1)*5),11),1))=VALUE(RIGHT(D164,1)),"","오류")),"")</f>
        <v/>
      </c>
      <c r="C164" s="116"/>
      <c r="D164" s="143"/>
      <c r="E164" s="116"/>
      <c r="F164" s="116"/>
      <c r="G164" s="144"/>
      <c r="H164" s="112"/>
      <c r="I164" s="38"/>
      <c r="J164" s="39"/>
      <c r="K164" s="39"/>
      <c r="L164" s="39"/>
      <c r="M164" s="39"/>
      <c r="N164" s="39"/>
      <c r="O164" s="39"/>
      <c r="P164" s="39"/>
      <c r="Q164" s="39"/>
      <c r="R164" s="39"/>
      <c r="S164" s="40"/>
      <c r="T164" s="40"/>
      <c r="U164" s="39"/>
      <c r="V164" s="39"/>
      <c r="W164" s="41"/>
      <c r="X164" s="42"/>
      <c r="Y164" s="145">
        <f>SUM(I164:X165)</f>
        <v>0</v>
      </c>
      <c r="Z164" s="116">
        <f>COUNTIF(I164:X165,"&gt;0")</f>
        <v>0</v>
      </c>
      <c r="AA164" s="112">
        <f t="shared" ref="AA164" si="3163">H164*Y164</f>
        <v>0</v>
      </c>
      <c r="AB164" s="62">
        <f t="shared" ref="AB164" si="3164">IF(AO164&lt;1000, 0, AO164)</f>
        <v>0</v>
      </c>
      <c r="AC164" s="63">
        <f ca="1">IF(IFERROR($AN164&lt;65,FALSE), IF(B164&lt;&gt;"외국인", ROUNDDOWN(AA164*$AH$1%,-1), IF(AND(AM164&lt;&gt;"", ISNUMBER(SEARCH(LEFT(SUBSTITUTE(AM164, "-",""),2), "F2_F5_F6"))), ROUNDDOWN(AA164*$AH$1%,-1), 0)),0)</f>
        <v>0</v>
      </c>
      <c r="AD164" s="64">
        <f t="shared" ref="AD164" si="3165">IF(Z164&gt;=$AJ$1,ROUNDDOWN(AA164*$AH$2%,-1),0)</f>
        <v>0</v>
      </c>
      <c r="AE164" s="112">
        <f t="shared" ref="AE164" ca="1" si="3166">AB164+AC164+AB165+AC165+AD164+AD165</f>
        <v>0</v>
      </c>
      <c r="AF164" s="112">
        <f t="shared" ref="AF164" ca="1" si="3167">AA164-AE164</f>
        <v>0</v>
      </c>
      <c r="AG164" s="116"/>
      <c r="AH164" s="116"/>
      <c r="AI164" s="116"/>
      <c r="AJ164" s="116"/>
      <c r="AK164" s="149"/>
      <c r="AL164" s="149"/>
      <c r="AM164" s="115"/>
      <c r="AN164" s="113" t="str">
        <f t="shared" ref="AN164" ca="1" si="3168">IFERROR(DATEDIF(DATE(IF(ISNUMBER(FIND(MID( SUBSTITUTE(D164, "-",""), 7, 1), "3478")), 2000, 1900)+MID(D164,1,2), MID(D164,3,2), MID(D164,5,2)), TODAY(), "Y"),"")</f>
        <v/>
      </c>
      <c r="AO164" s="112">
        <f>ROUNDDOWN(SUM(AP164:BE165),-1)</f>
        <v>0</v>
      </c>
      <c r="AP164" s="11">
        <f t="shared" ref="AP164" si="3169">IF($H164*I164&gt;150000,ROUNDDOWN(($H164*I164-150000)*6%*45%,0),0)</f>
        <v>0</v>
      </c>
      <c r="AQ164" s="12">
        <f t="shared" ref="AQ164" si="3170">IF($H164*J164&gt;150000,ROUNDDOWN(($H164*J164-150000)*6%*45%,0),0)</f>
        <v>0</v>
      </c>
      <c r="AR164" s="12">
        <f t="shared" ref="AR164" si="3171">IF($H164*K164&gt;150000,ROUNDDOWN(($H164*K164-150000)*6%*45%,0),0)</f>
        <v>0</v>
      </c>
      <c r="AS164" s="12">
        <f t="shared" ref="AS164" si="3172">IF($H164*L164&gt;150000,ROUNDDOWN(($H164*L164-150000)*6%*45%,0),0)</f>
        <v>0</v>
      </c>
      <c r="AT164" s="12">
        <f t="shared" ref="AT164" si="3173">IF($H164*M164&gt;150000,ROUNDDOWN(($H164*M164-150000)*6%*45%,0),0)</f>
        <v>0</v>
      </c>
      <c r="AU164" s="12">
        <f t="shared" ref="AU164" si="3174">IF($H164*N164&gt;150000,ROUNDDOWN(($H164*N164-150000)*6%*45%,0),0)</f>
        <v>0</v>
      </c>
      <c r="AV164" s="12">
        <f t="shared" ref="AV164" si="3175">IF($H164*O164&gt;150000,ROUNDDOWN(($H164*O164-150000)*6%*45%,0),0)</f>
        <v>0</v>
      </c>
      <c r="AW164" s="12">
        <f t="shared" ref="AW164" si="3176">IF($H164*P164&gt;150000,ROUNDDOWN(($H164*P164-150000)*6%*45%,0),0)</f>
        <v>0</v>
      </c>
      <c r="AX164" s="12">
        <f t="shared" ref="AX164" si="3177">IF($H164*Q164&gt;150000,ROUNDDOWN(($H164*Q164-150000)*6%*45%,0),0)</f>
        <v>0</v>
      </c>
      <c r="AY164" s="12">
        <f t="shared" ref="AY164" si="3178">IF($H164*R164&gt;150000,ROUNDDOWN(($H164*R164-150000)*6%*45%,0),0)</f>
        <v>0</v>
      </c>
      <c r="AZ164" s="12">
        <f t="shared" ref="AZ164" si="3179">IF($H164*S164&gt;150000,ROUNDDOWN(($H164*S164-150000)*6%*45%,0),0)</f>
        <v>0</v>
      </c>
      <c r="BA164" s="12">
        <f t="shared" ref="BA164" si="3180">IF($H164*T164&gt;150000,ROUNDDOWN(($H164*T164-150000)*6%*45%,0),0)</f>
        <v>0</v>
      </c>
      <c r="BB164" s="12">
        <f t="shared" ref="BB164" si="3181">IF($H164*U164&gt;150000,ROUNDDOWN(($H164*U164-150000)*6%*45%,0),0)</f>
        <v>0</v>
      </c>
      <c r="BC164" s="12">
        <f t="shared" ref="BC164" si="3182">IF($H164*V164&gt;150000,ROUNDDOWN(($H164*V164-150000)*6%*45%,0),0)</f>
        <v>0</v>
      </c>
      <c r="BD164" s="13">
        <f t="shared" ref="BD164" si="3183">IF($H164*W164&gt;150000,ROUNDDOWN(($H164*W164-150000)*6%*45%,0),0)</f>
        <v>0</v>
      </c>
      <c r="BE164" s="14"/>
    </row>
    <row r="165" spans="1:58" x14ac:dyDescent="0.3">
      <c r="A165" s="142"/>
      <c r="B165" s="116"/>
      <c r="C165" s="116"/>
      <c r="D165" s="143"/>
      <c r="E165" s="116"/>
      <c r="F165" s="116"/>
      <c r="G165" s="144"/>
      <c r="H165" s="112"/>
      <c r="I165" s="43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5"/>
      <c r="Y165" s="145"/>
      <c r="Z165" s="116"/>
      <c r="AA165" s="112"/>
      <c r="AB165" s="65">
        <f t="shared" ref="AB165" si="3184">ROUNDDOWN(AB164*10%,-1)</f>
        <v>0</v>
      </c>
      <c r="AC165" s="66">
        <f t="shared" ref="AC165" ca="1" si="3185">IFERROR(IF(AND( OR(COUNTIF(I164:X165, "&gt;0")&gt;=$AJ$1, AA164&gt;=$AJ$4),AN164&lt;60,AA164&lt;=$AH$5),ROUNDDOWN(ROUNDDOWN(AA164,-3)*$AH$4%,-1),IF(AND(COUNTIF(I164:X165,"&gt;0")&gt;=$AJ$1,AN164&lt;60,AA164&gt;$AH$5),$AJ$5,0)),0)</f>
        <v>0</v>
      </c>
      <c r="AD165" s="67">
        <f t="shared" ref="AD165" si="3186">IF(Z164&gt;=$AJ$1,ROUNDDOWN(AD164*$AH$3%/($AH$2*2%),-1),0)</f>
        <v>0</v>
      </c>
      <c r="AE165" s="112"/>
      <c r="AF165" s="112"/>
      <c r="AG165" s="116"/>
      <c r="AH165" s="116"/>
      <c r="AI165" s="116"/>
      <c r="AJ165" s="116"/>
      <c r="AK165" s="149"/>
      <c r="AL165" s="149"/>
      <c r="AM165" s="115"/>
      <c r="AN165" s="113"/>
      <c r="AO165" s="112"/>
      <c r="AP165" s="15">
        <f t="shared" ref="AP165" si="3187">IF($H164*I165&gt;150000,ROUNDDOWN(($H164*I165-150000)*6%*45%,0),0)</f>
        <v>0</v>
      </c>
      <c r="AQ165" s="16">
        <f t="shared" ref="AQ165" si="3188">IF($H164*J165&gt;150000,ROUNDDOWN(($H164*J165-150000)*6%*45%,0),0)</f>
        <v>0</v>
      </c>
      <c r="AR165" s="16">
        <f t="shared" ref="AR165" si="3189">IF($H164*K165&gt;150000,ROUNDDOWN(($H164*K165-150000)*6%*45%,0),0)</f>
        <v>0</v>
      </c>
      <c r="AS165" s="16">
        <f t="shared" ref="AS165" si="3190">IF($H164*L165&gt;150000,ROUNDDOWN(($H164*L165-150000)*6%*45%,0),0)</f>
        <v>0</v>
      </c>
      <c r="AT165" s="16">
        <f t="shared" ref="AT165" si="3191">IF($H164*M165&gt;150000,ROUNDDOWN(($H164*M165-150000)*6%*45%,0),0)</f>
        <v>0</v>
      </c>
      <c r="AU165" s="16">
        <f t="shared" ref="AU165" si="3192">IF($H164*N165&gt;150000,ROUNDDOWN(($H164*N165-150000)*6%*45%,0),0)</f>
        <v>0</v>
      </c>
      <c r="AV165" s="16">
        <f t="shared" ref="AV165" si="3193">IF($H164*O165&gt;150000,ROUNDDOWN(($H164*O165-150000)*6%*45%,0),0)</f>
        <v>0</v>
      </c>
      <c r="AW165" s="16">
        <f t="shared" ref="AW165" si="3194">IF($H164*P165&gt;150000,ROUNDDOWN(($H164*P165-150000)*6%*45%,0),0)</f>
        <v>0</v>
      </c>
      <c r="AX165" s="16">
        <f t="shared" ref="AX165" si="3195">IF($H164*Q165&gt;150000,ROUNDDOWN(($H164*Q165-150000)*6%*45%,0),0)</f>
        <v>0</v>
      </c>
      <c r="AY165" s="16">
        <f t="shared" ref="AY165" si="3196">IF($H164*R165&gt;150000,ROUNDDOWN(($H164*R165-150000)*6%*45%,0),0)</f>
        <v>0</v>
      </c>
      <c r="AZ165" s="16">
        <f t="shared" ref="AZ165" si="3197">IF($H164*S165&gt;150000,ROUNDDOWN(($H164*S165-150000)*6%*45%,0),0)</f>
        <v>0</v>
      </c>
      <c r="BA165" s="16">
        <f t="shared" ref="BA165" si="3198">IF($H164*T165&gt;150000,ROUNDDOWN(($H164*T165-150000)*6%*45%,0),0)</f>
        <v>0</v>
      </c>
      <c r="BB165" s="16">
        <f t="shared" ref="BB165" si="3199">IF($H164*U165&gt;150000,ROUNDDOWN(($H164*U165-150000)*6%*45%,0),0)</f>
        <v>0</v>
      </c>
      <c r="BC165" s="16">
        <f t="shared" ref="BC165" si="3200">IF($H164*V165&gt;150000,ROUNDDOWN(($H164*V165-150000)*6%*45%,0),0)</f>
        <v>0</v>
      </c>
      <c r="BD165" s="16">
        <f t="shared" ref="BD165" si="3201">IF($H164*W165&gt;150000,ROUNDDOWN(($H164*W165-150000)*6%*45%,0),0)</f>
        <v>0</v>
      </c>
      <c r="BE165" s="17">
        <f t="shared" ref="BE165" si="3202">IF($H164*X165&gt;150000,ROUNDDOWN(($H164*X165-150000)*6%*45%,0),0)</f>
        <v>0</v>
      </c>
      <c r="BF165" s="28"/>
    </row>
    <row r="166" spans="1:58" x14ac:dyDescent="0.3">
      <c r="A166" s="142">
        <v>80</v>
      </c>
      <c r="B166" s="116" t="str">
        <f t="shared" ref="B166" si="3203">IF(LEN(D166)&gt;1,IF(VALUE(MID(RIGHT(D166,7),1,1))&gt;4,"외국인",IF(VALUE(RIGHT(11-MOD((MID(D166,1,1)*2+MID(D166,2,1)*3+MID(D166,3,1)*4+MID(D166,4,1)*5+MID(D166,5,1)*6+MID(D166,6,1)*7+MID(RIGHT(D166,7),1,1)*8+MID(RIGHT(D166,7),2,1)*9+MID(RIGHT(D166,7),3,1)*2+MID(RIGHT(D166,7),4,1)*3+MID(RIGHT(D166,7),5,1)*4+MID(RIGHT(D166,7),6,1)*5),11),1))=VALUE(RIGHT(D166,1)),"","오류")),"")</f>
        <v/>
      </c>
      <c r="C166" s="116"/>
      <c r="D166" s="143"/>
      <c r="E166" s="116"/>
      <c r="F166" s="116"/>
      <c r="G166" s="144"/>
      <c r="H166" s="112"/>
      <c r="I166" s="38"/>
      <c r="J166" s="39"/>
      <c r="K166" s="39"/>
      <c r="L166" s="39"/>
      <c r="M166" s="39"/>
      <c r="N166" s="39"/>
      <c r="O166" s="39"/>
      <c r="P166" s="39"/>
      <c r="Q166" s="39"/>
      <c r="R166" s="39"/>
      <c r="S166" s="40"/>
      <c r="T166" s="40"/>
      <c r="U166" s="39"/>
      <c r="V166" s="39"/>
      <c r="W166" s="41"/>
      <c r="X166" s="42"/>
      <c r="Y166" s="145">
        <f>SUM(I166:X167)</f>
        <v>0</v>
      </c>
      <c r="Z166" s="116">
        <f>COUNTIF(I166:X167,"&gt;0")</f>
        <v>0</v>
      </c>
      <c r="AA166" s="112">
        <f t="shared" ref="AA166" si="3204">H166*Y166</f>
        <v>0</v>
      </c>
      <c r="AB166" s="62">
        <f t="shared" ref="AB166" si="3205">IF(AO166&lt;1000, 0, AO166)</f>
        <v>0</v>
      </c>
      <c r="AC166" s="63">
        <f ca="1">IF(IFERROR($AN166&lt;65,FALSE), IF(B166&lt;&gt;"외국인", ROUNDDOWN(AA166*$AH$1%,-1), IF(AND(AM166&lt;&gt;"", ISNUMBER(SEARCH(LEFT(SUBSTITUTE(AM166, "-",""),2), "F2_F5_F6"))), ROUNDDOWN(AA166*$AH$1%,-1), 0)),0)</f>
        <v>0</v>
      </c>
      <c r="AD166" s="64">
        <f t="shared" ref="AD166" si="3206">IF(Z166&gt;=$AJ$1,ROUNDDOWN(AA166*$AH$2%,-1),0)</f>
        <v>0</v>
      </c>
      <c r="AE166" s="112">
        <f t="shared" ref="AE166" ca="1" si="3207">AB166+AC166+AB167+AC167+AD166+AD167</f>
        <v>0</v>
      </c>
      <c r="AF166" s="112">
        <f t="shared" ref="AF166" ca="1" si="3208">AA166-AE166</f>
        <v>0</v>
      </c>
      <c r="AG166" s="116"/>
      <c r="AH166" s="116"/>
      <c r="AI166" s="116"/>
      <c r="AJ166" s="116"/>
      <c r="AK166" s="149"/>
      <c r="AL166" s="149"/>
      <c r="AM166" s="115"/>
      <c r="AN166" s="113" t="str">
        <f t="shared" ref="AN166" ca="1" si="3209">IFERROR(DATEDIF(DATE(IF(ISNUMBER(FIND(MID( SUBSTITUTE(D166, "-",""), 7, 1), "3478")), 2000, 1900)+MID(D166,1,2), MID(D166,3,2), MID(D166,5,2)), TODAY(), "Y"),"")</f>
        <v/>
      </c>
      <c r="AO166" s="112">
        <f>ROUNDDOWN(SUM(AP166:BE167),-1)</f>
        <v>0</v>
      </c>
      <c r="AP166" s="11">
        <f t="shared" ref="AP166" si="3210">IF($H166*I166&gt;150000,ROUNDDOWN(($H166*I166-150000)*6%*45%,0),0)</f>
        <v>0</v>
      </c>
      <c r="AQ166" s="12">
        <f t="shared" ref="AQ166" si="3211">IF($H166*J166&gt;150000,ROUNDDOWN(($H166*J166-150000)*6%*45%,0),0)</f>
        <v>0</v>
      </c>
      <c r="AR166" s="12">
        <f t="shared" ref="AR166" si="3212">IF($H166*K166&gt;150000,ROUNDDOWN(($H166*K166-150000)*6%*45%,0),0)</f>
        <v>0</v>
      </c>
      <c r="AS166" s="12">
        <f t="shared" ref="AS166" si="3213">IF($H166*L166&gt;150000,ROUNDDOWN(($H166*L166-150000)*6%*45%,0),0)</f>
        <v>0</v>
      </c>
      <c r="AT166" s="12">
        <f t="shared" ref="AT166" si="3214">IF($H166*M166&gt;150000,ROUNDDOWN(($H166*M166-150000)*6%*45%,0),0)</f>
        <v>0</v>
      </c>
      <c r="AU166" s="12">
        <f t="shared" ref="AU166" si="3215">IF($H166*N166&gt;150000,ROUNDDOWN(($H166*N166-150000)*6%*45%,0),0)</f>
        <v>0</v>
      </c>
      <c r="AV166" s="12">
        <f t="shared" ref="AV166" si="3216">IF($H166*O166&gt;150000,ROUNDDOWN(($H166*O166-150000)*6%*45%,0),0)</f>
        <v>0</v>
      </c>
      <c r="AW166" s="12">
        <f t="shared" ref="AW166" si="3217">IF($H166*P166&gt;150000,ROUNDDOWN(($H166*P166-150000)*6%*45%,0),0)</f>
        <v>0</v>
      </c>
      <c r="AX166" s="12">
        <f t="shared" ref="AX166" si="3218">IF($H166*Q166&gt;150000,ROUNDDOWN(($H166*Q166-150000)*6%*45%,0),0)</f>
        <v>0</v>
      </c>
      <c r="AY166" s="12">
        <f t="shared" ref="AY166" si="3219">IF($H166*R166&gt;150000,ROUNDDOWN(($H166*R166-150000)*6%*45%,0),0)</f>
        <v>0</v>
      </c>
      <c r="AZ166" s="12">
        <f t="shared" ref="AZ166" si="3220">IF($H166*S166&gt;150000,ROUNDDOWN(($H166*S166-150000)*6%*45%,0),0)</f>
        <v>0</v>
      </c>
      <c r="BA166" s="12">
        <f t="shared" ref="BA166" si="3221">IF($H166*T166&gt;150000,ROUNDDOWN(($H166*T166-150000)*6%*45%,0),0)</f>
        <v>0</v>
      </c>
      <c r="BB166" s="12">
        <f t="shared" ref="BB166" si="3222">IF($H166*U166&gt;150000,ROUNDDOWN(($H166*U166-150000)*6%*45%,0),0)</f>
        <v>0</v>
      </c>
      <c r="BC166" s="12">
        <f t="shared" ref="BC166" si="3223">IF($H166*V166&gt;150000,ROUNDDOWN(($H166*V166-150000)*6%*45%,0),0)</f>
        <v>0</v>
      </c>
      <c r="BD166" s="13">
        <f t="shared" ref="BD166" si="3224">IF($H166*W166&gt;150000,ROUNDDOWN(($H166*W166-150000)*6%*45%,0),0)</f>
        <v>0</v>
      </c>
      <c r="BE166" s="14"/>
    </row>
    <row r="167" spans="1:58" x14ac:dyDescent="0.3">
      <c r="A167" s="142"/>
      <c r="B167" s="116"/>
      <c r="C167" s="116"/>
      <c r="D167" s="143"/>
      <c r="E167" s="116"/>
      <c r="F167" s="116"/>
      <c r="G167" s="144"/>
      <c r="H167" s="112"/>
      <c r="I167" s="43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5"/>
      <c r="Y167" s="145"/>
      <c r="Z167" s="116"/>
      <c r="AA167" s="112"/>
      <c r="AB167" s="65">
        <f t="shared" ref="AB167" si="3225">ROUNDDOWN(AB166*10%,-1)</f>
        <v>0</v>
      </c>
      <c r="AC167" s="66">
        <f t="shared" ref="AC167" ca="1" si="3226">IFERROR(IF(AND( OR(COUNTIF(I166:X167, "&gt;0")&gt;=$AJ$1, AA166&gt;=$AJ$4),AN166&lt;60,AA166&lt;=$AH$5),ROUNDDOWN(ROUNDDOWN(AA166,-3)*$AH$4%,-1),IF(AND(COUNTIF(I166:X167,"&gt;0")&gt;=$AJ$1,AN166&lt;60,AA166&gt;$AH$5),$AJ$5,0)),0)</f>
        <v>0</v>
      </c>
      <c r="AD167" s="67">
        <f t="shared" ref="AD167" si="3227">IF(Z166&gt;=$AJ$1,ROUNDDOWN(AD166*$AH$3%/($AH$2*2%),-1),0)</f>
        <v>0</v>
      </c>
      <c r="AE167" s="112"/>
      <c r="AF167" s="112"/>
      <c r="AG167" s="116"/>
      <c r="AH167" s="116"/>
      <c r="AI167" s="116"/>
      <c r="AJ167" s="116"/>
      <c r="AK167" s="149"/>
      <c r="AL167" s="149"/>
      <c r="AM167" s="115"/>
      <c r="AN167" s="113"/>
      <c r="AO167" s="112"/>
      <c r="AP167" s="15">
        <f t="shared" ref="AP167" si="3228">IF($H166*I167&gt;150000,ROUNDDOWN(($H166*I167-150000)*6%*45%,0),0)</f>
        <v>0</v>
      </c>
      <c r="AQ167" s="16">
        <f t="shared" ref="AQ167" si="3229">IF($H166*J167&gt;150000,ROUNDDOWN(($H166*J167-150000)*6%*45%,0),0)</f>
        <v>0</v>
      </c>
      <c r="AR167" s="16">
        <f t="shared" ref="AR167" si="3230">IF($H166*K167&gt;150000,ROUNDDOWN(($H166*K167-150000)*6%*45%,0),0)</f>
        <v>0</v>
      </c>
      <c r="AS167" s="16">
        <f t="shared" ref="AS167" si="3231">IF($H166*L167&gt;150000,ROUNDDOWN(($H166*L167-150000)*6%*45%,0),0)</f>
        <v>0</v>
      </c>
      <c r="AT167" s="16">
        <f t="shared" ref="AT167" si="3232">IF($H166*M167&gt;150000,ROUNDDOWN(($H166*M167-150000)*6%*45%,0),0)</f>
        <v>0</v>
      </c>
      <c r="AU167" s="16">
        <f t="shared" ref="AU167" si="3233">IF($H166*N167&gt;150000,ROUNDDOWN(($H166*N167-150000)*6%*45%,0),0)</f>
        <v>0</v>
      </c>
      <c r="AV167" s="16">
        <f t="shared" ref="AV167" si="3234">IF($H166*O167&gt;150000,ROUNDDOWN(($H166*O167-150000)*6%*45%,0),0)</f>
        <v>0</v>
      </c>
      <c r="AW167" s="16">
        <f t="shared" ref="AW167" si="3235">IF($H166*P167&gt;150000,ROUNDDOWN(($H166*P167-150000)*6%*45%,0),0)</f>
        <v>0</v>
      </c>
      <c r="AX167" s="16">
        <f t="shared" ref="AX167" si="3236">IF($H166*Q167&gt;150000,ROUNDDOWN(($H166*Q167-150000)*6%*45%,0),0)</f>
        <v>0</v>
      </c>
      <c r="AY167" s="16">
        <f t="shared" ref="AY167" si="3237">IF($H166*R167&gt;150000,ROUNDDOWN(($H166*R167-150000)*6%*45%,0),0)</f>
        <v>0</v>
      </c>
      <c r="AZ167" s="16">
        <f t="shared" ref="AZ167" si="3238">IF($H166*S167&gt;150000,ROUNDDOWN(($H166*S167-150000)*6%*45%,0),0)</f>
        <v>0</v>
      </c>
      <c r="BA167" s="16">
        <f t="shared" ref="BA167" si="3239">IF($H166*T167&gt;150000,ROUNDDOWN(($H166*T167-150000)*6%*45%,0),0)</f>
        <v>0</v>
      </c>
      <c r="BB167" s="16">
        <f t="shared" ref="BB167" si="3240">IF($H166*U167&gt;150000,ROUNDDOWN(($H166*U167-150000)*6%*45%,0),0)</f>
        <v>0</v>
      </c>
      <c r="BC167" s="16">
        <f t="shared" ref="BC167" si="3241">IF($H166*V167&gt;150000,ROUNDDOWN(($H166*V167-150000)*6%*45%,0),0)</f>
        <v>0</v>
      </c>
      <c r="BD167" s="16">
        <f t="shared" ref="BD167" si="3242">IF($H166*W167&gt;150000,ROUNDDOWN(($H166*W167-150000)*6%*45%,0),0)</f>
        <v>0</v>
      </c>
      <c r="BE167" s="17">
        <f t="shared" ref="BE167" si="3243">IF($H166*X167&gt;150000,ROUNDDOWN(($H166*X167-150000)*6%*45%,0),0)</f>
        <v>0</v>
      </c>
      <c r="BF167" s="28"/>
    </row>
    <row r="168" spans="1:58" x14ac:dyDescent="0.3">
      <c r="A168" s="142">
        <v>81</v>
      </c>
      <c r="B168" s="116" t="str">
        <f t="shared" ref="B168" si="3244">IF(LEN(D168)&gt;1,IF(VALUE(MID(RIGHT(D168,7),1,1))&gt;4,"외국인",IF(VALUE(RIGHT(11-MOD((MID(D168,1,1)*2+MID(D168,2,1)*3+MID(D168,3,1)*4+MID(D168,4,1)*5+MID(D168,5,1)*6+MID(D168,6,1)*7+MID(RIGHT(D168,7),1,1)*8+MID(RIGHT(D168,7),2,1)*9+MID(RIGHT(D168,7),3,1)*2+MID(RIGHT(D168,7),4,1)*3+MID(RIGHT(D168,7),5,1)*4+MID(RIGHT(D168,7),6,1)*5),11),1))=VALUE(RIGHT(D168,1)),"","오류")),"")</f>
        <v/>
      </c>
      <c r="C168" s="116"/>
      <c r="D168" s="143"/>
      <c r="E168" s="116"/>
      <c r="F168" s="116"/>
      <c r="G168" s="144"/>
      <c r="H168" s="112"/>
      <c r="I168" s="38"/>
      <c r="J168" s="39"/>
      <c r="K168" s="39"/>
      <c r="L168" s="39"/>
      <c r="M168" s="39"/>
      <c r="N168" s="39"/>
      <c r="O168" s="39"/>
      <c r="P168" s="39"/>
      <c r="Q168" s="39"/>
      <c r="R168" s="39"/>
      <c r="S168" s="40"/>
      <c r="T168" s="40"/>
      <c r="U168" s="39"/>
      <c r="V168" s="39"/>
      <c r="W168" s="41"/>
      <c r="X168" s="42"/>
      <c r="Y168" s="145">
        <f>SUM(I168:X169)</f>
        <v>0</v>
      </c>
      <c r="Z168" s="116">
        <f>COUNTIF(I168:X169,"&gt;0")</f>
        <v>0</v>
      </c>
      <c r="AA168" s="112">
        <f t="shared" ref="AA168" si="3245">H168*Y168</f>
        <v>0</v>
      </c>
      <c r="AB168" s="62">
        <f t="shared" ref="AB168" si="3246">IF(AO168&lt;1000, 0, AO168)</f>
        <v>0</v>
      </c>
      <c r="AC168" s="63">
        <f ca="1">IF(IFERROR($AN168&lt;65,FALSE), IF(B168&lt;&gt;"외국인", ROUNDDOWN(AA168*$AH$1%,-1), IF(AND(AM168&lt;&gt;"", ISNUMBER(SEARCH(LEFT(SUBSTITUTE(AM168, "-",""),2), "F2_F5_F6"))), ROUNDDOWN(AA168*$AH$1%,-1), 0)),0)</f>
        <v>0</v>
      </c>
      <c r="AD168" s="64">
        <f t="shared" ref="AD168" si="3247">IF(Z168&gt;=$AJ$1,ROUNDDOWN(AA168*$AH$2%,-1),0)</f>
        <v>0</v>
      </c>
      <c r="AE168" s="112">
        <f t="shared" ref="AE168" ca="1" si="3248">AB168+AC168+AB169+AC169+AD168+AD169</f>
        <v>0</v>
      </c>
      <c r="AF168" s="112">
        <f t="shared" ref="AF168" ca="1" si="3249">AA168-AE168</f>
        <v>0</v>
      </c>
      <c r="AG168" s="116"/>
      <c r="AH168" s="116"/>
      <c r="AI168" s="116"/>
      <c r="AJ168" s="116"/>
      <c r="AK168" s="149"/>
      <c r="AL168" s="149"/>
      <c r="AM168" s="115"/>
      <c r="AN168" s="113" t="str">
        <f t="shared" ref="AN168" ca="1" si="3250">IFERROR(DATEDIF(DATE(IF(ISNUMBER(FIND(MID( SUBSTITUTE(D168, "-",""), 7, 1), "3478")), 2000, 1900)+MID(D168,1,2), MID(D168,3,2), MID(D168,5,2)), TODAY(), "Y"),"")</f>
        <v/>
      </c>
      <c r="AO168" s="112">
        <f>ROUNDDOWN(SUM(AP168:BE169),-1)</f>
        <v>0</v>
      </c>
      <c r="AP168" s="11">
        <f t="shared" ref="AP168" si="3251">IF($H168*I168&gt;150000,ROUNDDOWN(($H168*I168-150000)*6%*45%,0),0)</f>
        <v>0</v>
      </c>
      <c r="AQ168" s="12">
        <f t="shared" ref="AQ168" si="3252">IF($H168*J168&gt;150000,ROUNDDOWN(($H168*J168-150000)*6%*45%,0),0)</f>
        <v>0</v>
      </c>
      <c r="AR168" s="12">
        <f t="shared" ref="AR168" si="3253">IF($H168*K168&gt;150000,ROUNDDOWN(($H168*K168-150000)*6%*45%,0),0)</f>
        <v>0</v>
      </c>
      <c r="AS168" s="12">
        <f t="shared" ref="AS168" si="3254">IF($H168*L168&gt;150000,ROUNDDOWN(($H168*L168-150000)*6%*45%,0),0)</f>
        <v>0</v>
      </c>
      <c r="AT168" s="12">
        <f t="shared" ref="AT168" si="3255">IF($H168*M168&gt;150000,ROUNDDOWN(($H168*M168-150000)*6%*45%,0),0)</f>
        <v>0</v>
      </c>
      <c r="AU168" s="12">
        <f t="shared" ref="AU168" si="3256">IF($H168*N168&gt;150000,ROUNDDOWN(($H168*N168-150000)*6%*45%,0),0)</f>
        <v>0</v>
      </c>
      <c r="AV168" s="12">
        <f t="shared" ref="AV168" si="3257">IF($H168*O168&gt;150000,ROUNDDOWN(($H168*O168-150000)*6%*45%,0),0)</f>
        <v>0</v>
      </c>
      <c r="AW168" s="12">
        <f t="shared" ref="AW168" si="3258">IF($H168*P168&gt;150000,ROUNDDOWN(($H168*P168-150000)*6%*45%,0),0)</f>
        <v>0</v>
      </c>
      <c r="AX168" s="12">
        <f t="shared" ref="AX168" si="3259">IF($H168*Q168&gt;150000,ROUNDDOWN(($H168*Q168-150000)*6%*45%,0),0)</f>
        <v>0</v>
      </c>
      <c r="AY168" s="12">
        <f t="shared" ref="AY168" si="3260">IF($H168*R168&gt;150000,ROUNDDOWN(($H168*R168-150000)*6%*45%,0),0)</f>
        <v>0</v>
      </c>
      <c r="AZ168" s="12">
        <f t="shared" ref="AZ168" si="3261">IF($H168*S168&gt;150000,ROUNDDOWN(($H168*S168-150000)*6%*45%,0),0)</f>
        <v>0</v>
      </c>
      <c r="BA168" s="12">
        <f t="shared" ref="BA168" si="3262">IF($H168*T168&gt;150000,ROUNDDOWN(($H168*T168-150000)*6%*45%,0),0)</f>
        <v>0</v>
      </c>
      <c r="BB168" s="12">
        <f t="shared" ref="BB168" si="3263">IF($H168*U168&gt;150000,ROUNDDOWN(($H168*U168-150000)*6%*45%,0),0)</f>
        <v>0</v>
      </c>
      <c r="BC168" s="12">
        <f t="shared" ref="BC168" si="3264">IF($H168*V168&gt;150000,ROUNDDOWN(($H168*V168-150000)*6%*45%,0),0)</f>
        <v>0</v>
      </c>
      <c r="BD168" s="13">
        <f t="shared" ref="BD168" si="3265">IF($H168*W168&gt;150000,ROUNDDOWN(($H168*W168-150000)*6%*45%,0),0)</f>
        <v>0</v>
      </c>
      <c r="BE168" s="14"/>
    </row>
    <row r="169" spans="1:58" x14ac:dyDescent="0.3">
      <c r="A169" s="142"/>
      <c r="B169" s="116"/>
      <c r="C169" s="116"/>
      <c r="D169" s="143"/>
      <c r="E169" s="116"/>
      <c r="F169" s="116"/>
      <c r="G169" s="144"/>
      <c r="H169" s="112"/>
      <c r="I169" s="43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5"/>
      <c r="Y169" s="145"/>
      <c r="Z169" s="116"/>
      <c r="AA169" s="112"/>
      <c r="AB169" s="65">
        <f t="shared" ref="AB169" si="3266">ROUNDDOWN(AB168*10%,-1)</f>
        <v>0</v>
      </c>
      <c r="AC169" s="66">
        <f t="shared" ref="AC169" ca="1" si="3267">IFERROR(IF(AND( OR(COUNTIF(I168:X169, "&gt;0")&gt;=$AJ$1, AA168&gt;=$AJ$4),AN168&lt;60,AA168&lt;=$AH$5),ROUNDDOWN(ROUNDDOWN(AA168,-3)*$AH$4%,-1),IF(AND(COUNTIF(I168:X169,"&gt;0")&gt;=$AJ$1,AN168&lt;60,AA168&gt;$AH$5),$AJ$5,0)),0)</f>
        <v>0</v>
      </c>
      <c r="AD169" s="67">
        <f t="shared" ref="AD169" si="3268">IF(Z168&gt;=$AJ$1,ROUNDDOWN(AD168*$AH$3%/($AH$2*2%),-1),0)</f>
        <v>0</v>
      </c>
      <c r="AE169" s="112"/>
      <c r="AF169" s="112"/>
      <c r="AG169" s="116"/>
      <c r="AH169" s="116"/>
      <c r="AI169" s="116"/>
      <c r="AJ169" s="116"/>
      <c r="AK169" s="149"/>
      <c r="AL169" s="149"/>
      <c r="AM169" s="115"/>
      <c r="AN169" s="113"/>
      <c r="AO169" s="112"/>
      <c r="AP169" s="15">
        <f t="shared" ref="AP169" si="3269">IF($H168*I169&gt;150000,ROUNDDOWN(($H168*I169-150000)*6%*45%,0),0)</f>
        <v>0</v>
      </c>
      <c r="AQ169" s="16">
        <f t="shared" ref="AQ169" si="3270">IF($H168*J169&gt;150000,ROUNDDOWN(($H168*J169-150000)*6%*45%,0),0)</f>
        <v>0</v>
      </c>
      <c r="AR169" s="16">
        <f t="shared" ref="AR169" si="3271">IF($H168*K169&gt;150000,ROUNDDOWN(($H168*K169-150000)*6%*45%,0),0)</f>
        <v>0</v>
      </c>
      <c r="AS169" s="16">
        <f t="shared" ref="AS169" si="3272">IF($H168*L169&gt;150000,ROUNDDOWN(($H168*L169-150000)*6%*45%,0),0)</f>
        <v>0</v>
      </c>
      <c r="AT169" s="16">
        <f t="shared" ref="AT169" si="3273">IF($H168*M169&gt;150000,ROUNDDOWN(($H168*M169-150000)*6%*45%,0),0)</f>
        <v>0</v>
      </c>
      <c r="AU169" s="16">
        <f t="shared" ref="AU169" si="3274">IF($H168*N169&gt;150000,ROUNDDOWN(($H168*N169-150000)*6%*45%,0),0)</f>
        <v>0</v>
      </c>
      <c r="AV169" s="16">
        <f t="shared" ref="AV169" si="3275">IF($H168*O169&gt;150000,ROUNDDOWN(($H168*O169-150000)*6%*45%,0),0)</f>
        <v>0</v>
      </c>
      <c r="AW169" s="16">
        <f t="shared" ref="AW169" si="3276">IF($H168*P169&gt;150000,ROUNDDOWN(($H168*P169-150000)*6%*45%,0),0)</f>
        <v>0</v>
      </c>
      <c r="AX169" s="16">
        <f t="shared" ref="AX169" si="3277">IF($H168*Q169&gt;150000,ROUNDDOWN(($H168*Q169-150000)*6%*45%,0),0)</f>
        <v>0</v>
      </c>
      <c r="AY169" s="16">
        <f t="shared" ref="AY169" si="3278">IF($H168*R169&gt;150000,ROUNDDOWN(($H168*R169-150000)*6%*45%,0),0)</f>
        <v>0</v>
      </c>
      <c r="AZ169" s="16">
        <f t="shared" ref="AZ169" si="3279">IF($H168*S169&gt;150000,ROUNDDOWN(($H168*S169-150000)*6%*45%,0),0)</f>
        <v>0</v>
      </c>
      <c r="BA169" s="16">
        <f t="shared" ref="BA169" si="3280">IF($H168*T169&gt;150000,ROUNDDOWN(($H168*T169-150000)*6%*45%,0),0)</f>
        <v>0</v>
      </c>
      <c r="BB169" s="16">
        <f t="shared" ref="BB169" si="3281">IF($H168*U169&gt;150000,ROUNDDOWN(($H168*U169-150000)*6%*45%,0),0)</f>
        <v>0</v>
      </c>
      <c r="BC169" s="16">
        <f t="shared" ref="BC169" si="3282">IF($H168*V169&gt;150000,ROUNDDOWN(($H168*V169-150000)*6%*45%,0),0)</f>
        <v>0</v>
      </c>
      <c r="BD169" s="16">
        <f t="shared" ref="BD169" si="3283">IF($H168*W169&gt;150000,ROUNDDOWN(($H168*W169-150000)*6%*45%,0),0)</f>
        <v>0</v>
      </c>
      <c r="BE169" s="17">
        <f t="shared" ref="BE169" si="3284">IF($H168*X169&gt;150000,ROUNDDOWN(($H168*X169-150000)*6%*45%,0),0)</f>
        <v>0</v>
      </c>
      <c r="BF169" s="28"/>
    </row>
    <row r="170" spans="1:58" x14ac:dyDescent="0.3">
      <c r="A170" s="142">
        <v>82</v>
      </c>
      <c r="B170" s="116" t="str">
        <f t="shared" ref="B170" si="3285">IF(LEN(D170)&gt;1,IF(VALUE(MID(RIGHT(D170,7),1,1))&gt;4,"외국인",IF(VALUE(RIGHT(11-MOD((MID(D170,1,1)*2+MID(D170,2,1)*3+MID(D170,3,1)*4+MID(D170,4,1)*5+MID(D170,5,1)*6+MID(D170,6,1)*7+MID(RIGHT(D170,7),1,1)*8+MID(RIGHT(D170,7),2,1)*9+MID(RIGHT(D170,7),3,1)*2+MID(RIGHT(D170,7),4,1)*3+MID(RIGHT(D170,7),5,1)*4+MID(RIGHT(D170,7),6,1)*5),11),1))=VALUE(RIGHT(D170,1)),"","오류")),"")</f>
        <v/>
      </c>
      <c r="C170" s="116"/>
      <c r="D170" s="143"/>
      <c r="E170" s="116"/>
      <c r="F170" s="116"/>
      <c r="G170" s="144"/>
      <c r="H170" s="112"/>
      <c r="I170" s="38"/>
      <c r="J170" s="39"/>
      <c r="K170" s="39"/>
      <c r="L170" s="39"/>
      <c r="M170" s="39"/>
      <c r="N170" s="39"/>
      <c r="O170" s="39"/>
      <c r="P170" s="39"/>
      <c r="Q170" s="39"/>
      <c r="R170" s="39"/>
      <c r="S170" s="40"/>
      <c r="T170" s="40"/>
      <c r="U170" s="39"/>
      <c r="V170" s="39"/>
      <c r="W170" s="41"/>
      <c r="X170" s="42"/>
      <c r="Y170" s="145">
        <f>SUM(I170:X171)</f>
        <v>0</v>
      </c>
      <c r="Z170" s="116">
        <f>COUNTIF(I170:X171,"&gt;0")</f>
        <v>0</v>
      </c>
      <c r="AA170" s="112">
        <f t="shared" ref="AA170" si="3286">H170*Y170</f>
        <v>0</v>
      </c>
      <c r="AB170" s="62">
        <f t="shared" ref="AB170" si="3287">IF(AO170&lt;1000, 0, AO170)</f>
        <v>0</v>
      </c>
      <c r="AC170" s="63">
        <f ca="1">IF(IFERROR($AN170&lt;65,FALSE), IF(B170&lt;&gt;"외국인", ROUNDDOWN(AA170*$AH$1%,-1), IF(AND(AM170&lt;&gt;"", ISNUMBER(SEARCH(LEFT(SUBSTITUTE(AM170, "-",""),2), "F2_F5_F6"))), ROUNDDOWN(AA170*$AH$1%,-1), 0)),0)</f>
        <v>0</v>
      </c>
      <c r="AD170" s="64">
        <f t="shared" ref="AD170" si="3288">IF(Z170&gt;=$AJ$1,ROUNDDOWN(AA170*$AH$2%,-1),0)</f>
        <v>0</v>
      </c>
      <c r="AE170" s="112">
        <f t="shared" ref="AE170" ca="1" si="3289">AB170+AC170+AB171+AC171+AD170+AD171</f>
        <v>0</v>
      </c>
      <c r="AF170" s="112">
        <f t="shared" ref="AF170" ca="1" si="3290">AA170-AE170</f>
        <v>0</v>
      </c>
      <c r="AG170" s="116"/>
      <c r="AH170" s="116"/>
      <c r="AI170" s="116"/>
      <c r="AJ170" s="116"/>
      <c r="AK170" s="149"/>
      <c r="AL170" s="149"/>
      <c r="AM170" s="115"/>
      <c r="AN170" s="113" t="str">
        <f t="shared" ref="AN170" ca="1" si="3291">IFERROR(DATEDIF(DATE(IF(ISNUMBER(FIND(MID( SUBSTITUTE(D170, "-",""), 7, 1), "3478")), 2000, 1900)+MID(D170,1,2), MID(D170,3,2), MID(D170,5,2)), TODAY(), "Y"),"")</f>
        <v/>
      </c>
      <c r="AO170" s="112">
        <f>ROUNDDOWN(SUM(AP170:BE171),-1)</f>
        <v>0</v>
      </c>
      <c r="AP170" s="11">
        <f t="shared" ref="AP170" si="3292">IF($H170*I170&gt;150000,ROUNDDOWN(($H170*I170-150000)*6%*45%,0),0)</f>
        <v>0</v>
      </c>
      <c r="AQ170" s="12">
        <f t="shared" ref="AQ170" si="3293">IF($H170*J170&gt;150000,ROUNDDOWN(($H170*J170-150000)*6%*45%,0),0)</f>
        <v>0</v>
      </c>
      <c r="AR170" s="12">
        <f t="shared" ref="AR170" si="3294">IF($H170*K170&gt;150000,ROUNDDOWN(($H170*K170-150000)*6%*45%,0),0)</f>
        <v>0</v>
      </c>
      <c r="AS170" s="12">
        <f t="shared" ref="AS170" si="3295">IF($H170*L170&gt;150000,ROUNDDOWN(($H170*L170-150000)*6%*45%,0),0)</f>
        <v>0</v>
      </c>
      <c r="AT170" s="12">
        <f t="shared" ref="AT170" si="3296">IF($H170*M170&gt;150000,ROUNDDOWN(($H170*M170-150000)*6%*45%,0),0)</f>
        <v>0</v>
      </c>
      <c r="AU170" s="12">
        <f t="shared" ref="AU170" si="3297">IF($H170*N170&gt;150000,ROUNDDOWN(($H170*N170-150000)*6%*45%,0),0)</f>
        <v>0</v>
      </c>
      <c r="AV170" s="12">
        <f t="shared" ref="AV170" si="3298">IF($H170*O170&gt;150000,ROUNDDOWN(($H170*O170-150000)*6%*45%,0),0)</f>
        <v>0</v>
      </c>
      <c r="AW170" s="12">
        <f t="shared" ref="AW170" si="3299">IF($H170*P170&gt;150000,ROUNDDOWN(($H170*P170-150000)*6%*45%,0),0)</f>
        <v>0</v>
      </c>
      <c r="AX170" s="12">
        <f t="shared" ref="AX170" si="3300">IF($H170*Q170&gt;150000,ROUNDDOWN(($H170*Q170-150000)*6%*45%,0),0)</f>
        <v>0</v>
      </c>
      <c r="AY170" s="12">
        <f t="shared" ref="AY170" si="3301">IF($H170*R170&gt;150000,ROUNDDOWN(($H170*R170-150000)*6%*45%,0),0)</f>
        <v>0</v>
      </c>
      <c r="AZ170" s="12">
        <f t="shared" ref="AZ170" si="3302">IF($H170*S170&gt;150000,ROUNDDOWN(($H170*S170-150000)*6%*45%,0),0)</f>
        <v>0</v>
      </c>
      <c r="BA170" s="12">
        <f t="shared" ref="BA170" si="3303">IF($H170*T170&gt;150000,ROUNDDOWN(($H170*T170-150000)*6%*45%,0),0)</f>
        <v>0</v>
      </c>
      <c r="BB170" s="12">
        <f t="shared" ref="BB170" si="3304">IF($H170*U170&gt;150000,ROUNDDOWN(($H170*U170-150000)*6%*45%,0),0)</f>
        <v>0</v>
      </c>
      <c r="BC170" s="12">
        <f t="shared" ref="BC170" si="3305">IF($H170*V170&gt;150000,ROUNDDOWN(($H170*V170-150000)*6%*45%,0),0)</f>
        <v>0</v>
      </c>
      <c r="BD170" s="13">
        <f t="shared" ref="BD170" si="3306">IF($H170*W170&gt;150000,ROUNDDOWN(($H170*W170-150000)*6%*45%,0),0)</f>
        <v>0</v>
      </c>
      <c r="BE170" s="14"/>
    </row>
    <row r="171" spans="1:58" x14ac:dyDescent="0.3">
      <c r="A171" s="142"/>
      <c r="B171" s="116"/>
      <c r="C171" s="116"/>
      <c r="D171" s="143"/>
      <c r="E171" s="116"/>
      <c r="F171" s="116"/>
      <c r="G171" s="144"/>
      <c r="H171" s="112"/>
      <c r="I171" s="43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5"/>
      <c r="Y171" s="145"/>
      <c r="Z171" s="116"/>
      <c r="AA171" s="112"/>
      <c r="AB171" s="65">
        <f t="shared" ref="AB171" si="3307">ROUNDDOWN(AB170*10%,-1)</f>
        <v>0</v>
      </c>
      <c r="AC171" s="66">
        <f t="shared" ref="AC171" ca="1" si="3308">IFERROR(IF(AND( OR(COUNTIF(I170:X171, "&gt;0")&gt;=$AJ$1, AA170&gt;=$AJ$4),AN170&lt;60,AA170&lt;=$AH$5),ROUNDDOWN(ROUNDDOWN(AA170,-3)*$AH$4%,-1),IF(AND(COUNTIF(I170:X171,"&gt;0")&gt;=$AJ$1,AN170&lt;60,AA170&gt;$AH$5),$AJ$5,0)),0)</f>
        <v>0</v>
      </c>
      <c r="AD171" s="67">
        <f t="shared" ref="AD171" si="3309">IF(Z170&gt;=$AJ$1,ROUNDDOWN(AD170*$AH$3%/($AH$2*2%),-1),0)</f>
        <v>0</v>
      </c>
      <c r="AE171" s="112"/>
      <c r="AF171" s="112"/>
      <c r="AG171" s="116"/>
      <c r="AH171" s="116"/>
      <c r="AI171" s="116"/>
      <c r="AJ171" s="116"/>
      <c r="AK171" s="149"/>
      <c r="AL171" s="149"/>
      <c r="AM171" s="115"/>
      <c r="AN171" s="113"/>
      <c r="AO171" s="112"/>
      <c r="AP171" s="15">
        <f t="shared" ref="AP171" si="3310">IF($H170*I171&gt;150000,ROUNDDOWN(($H170*I171-150000)*6%*45%,0),0)</f>
        <v>0</v>
      </c>
      <c r="AQ171" s="16">
        <f t="shared" ref="AQ171" si="3311">IF($H170*J171&gt;150000,ROUNDDOWN(($H170*J171-150000)*6%*45%,0),0)</f>
        <v>0</v>
      </c>
      <c r="AR171" s="16">
        <f t="shared" ref="AR171" si="3312">IF($H170*K171&gt;150000,ROUNDDOWN(($H170*K171-150000)*6%*45%,0),0)</f>
        <v>0</v>
      </c>
      <c r="AS171" s="16">
        <f t="shared" ref="AS171" si="3313">IF($H170*L171&gt;150000,ROUNDDOWN(($H170*L171-150000)*6%*45%,0),0)</f>
        <v>0</v>
      </c>
      <c r="AT171" s="16">
        <f t="shared" ref="AT171" si="3314">IF($H170*M171&gt;150000,ROUNDDOWN(($H170*M171-150000)*6%*45%,0),0)</f>
        <v>0</v>
      </c>
      <c r="AU171" s="16">
        <f t="shared" ref="AU171" si="3315">IF($H170*N171&gt;150000,ROUNDDOWN(($H170*N171-150000)*6%*45%,0),0)</f>
        <v>0</v>
      </c>
      <c r="AV171" s="16">
        <f t="shared" ref="AV171" si="3316">IF($H170*O171&gt;150000,ROUNDDOWN(($H170*O171-150000)*6%*45%,0),0)</f>
        <v>0</v>
      </c>
      <c r="AW171" s="16">
        <f t="shared" ref="AW171" si="3317">IF($H170*P171&gt;150000,ROUNDDOWN(($H170*P171-150000)*6%*45%,0),0)</f>
        <v>0</v>
      </c>
      <c r="AX171" s="16">
        <f t="shared" ref="AX171" si="3318">IF($H170*Q171&gt;150000,ROUNDDOWN(($H170*Q171-150000)*6%*45%,0),0)</f>
        <v>0</v>
      </c>
      <c r="AY171" s="16">
        <f t="shared" ref="AY171" si="3319">IF($H170*R171&gt;150000,ROUNDDOWN(($H170*R171-150000)*6%*45%,0),0)</f>
        <v>0</v>
      </c>
      <c r="AZ171" s="16">
        <f t="shared" ref="AZ171" si="3320">IF($H170*S171&gt;150000,ROUNDDOWN(($H170*S171-150000)*6%*45%,0),0)</f>
        <v>0</v>
      </c>
      <c r="BA171" s="16">
        <f t="shared" ref="BA171" si="3321">IF($H170*T171&gt;150000,ROUNDDOWN(($H170*T171-150000)*6%*45%,0),0)</f>
        <v>0</v>
      </c>
      <c r="BB171" s="16">
        <f t="shared" ref="BB171" si="3322">IF($H170*U171&gt;150000,ROUNDDOWN(($H170*U171-150000)*6%*45%,0),0)</f>
        <v>0</v>
      </c>
      <c r="BC171" s="16">
        <f t="shared" ref="BC171" si="3323">IF($H170*V171&gt;150000,ROUNDDOWN(($H170*V171-150000)*6%*45%,0),0)</f>
        <v>0</v>
      </c>
      <c r="BD171" s="16">
        <f t="shared" ref="BD171" si="3324">IF($H170*W171&gt;150000,ROUNDDOWN(($H170*W171-150000)*6%*45%,0),0)</f>
        <v>0</v>
      </c>
      <c r="BE171" s="17">
        <f t="shared" ref="BE171" si="3325">IF($H170*X171&gt;150000,ROUNDDOWN(($H170*X171-150000)*6%*45%,0),0)</f>
        <v>0</v>
      </c>
      <c r="BF171" s="28"/>
    </row>
    <row r="172" spans="1:58" x14ac:dyDescent="0.3">
      <c r="A172" s="142">
        <v>83</v>
      </c>
      <c r="B172" s="116" t="str">
        <f t="shared" ref="B172" si="3326">IF(LEN(D172)&gt;1,IF(VALUE(MID(RIGHT(D172,7),1,1))&gt;4,"외국인",IF(VALUE(RIGHT(11-MOD((MID(D172,1,1)*2+MID(D172,2,1)*3+MID(D172,3,1)*4+MID(D172,4,1)*5+MID(D172,5,1)*6+MID(D172,6,1)*7+MID(RIGHT(D172,7),1,1)*8+MID(RIGHT(D172,7),2,1)*9+MID(RIGHT(D172,7),3,1)*2+MID(RIGHT(D172,7),4,1)*3+MID(RIGHT(D172,7),5,1)*4+MID(RIGHT(D172,7),6,1)*5),11),1))=VALUE(RIGHT(D172,1)),"","오류")),"")</f>
        <v/>
      </c>
      <c r="C172" s="116"/>
      <c r="D172" s="143"/>
      <c r="E172" s="116"/>
      <c r="F172" s="116"/>
      <c r="G172" s="144"/>
      <c r="H172" s="112"/>
      <c r="I172" s="38"/>
      <c r="J172" s="39"/>
      <c r="K172" s="39"/>
      <c r="L172" s="39"/>
      <c r="M172" s="39"/>
      <c r="N172" s="39"/>
      <c r="O172" s="39"/>
      <c r="P172" s="39"/>
      <c r="Q172" s="39"/>
      <c r="R172" s="39"/>
      <c r="S172" s="40"/>
      <c r="T172" s="40"/>
      <c r="U172" s="39"/>
      <c r="V172" s="39"/>
      <c r="W172" s="41"/>
      <c r="X172" s="42"/>
      <c r="Y172" s="145">
        <f>SUM(I172:X173)</f>
        <v>0</v>
      </c>
      <c r="Z172" s="116">
        <f>COUNTIF(I172:X173,"&gt;0")</f>
        <v>0</v>
      </c>
      <c r="AA172" s="112">
        <f t="shared" ref="AA172" si="3327">H172*Y172</f>
        <v>0</v>
      </c>
      <c r="AB172" s="62">
        <f t="shared" ref="AB172" si="3328">IF(AO172&lt;1000, 0, AO172)</f>
        <v>0</v>
      </c>
      <c r="AC172" s="63">
        <f ca="1">IF(IFERROR($AN172&lt;65,FALSE), IF(B172&lt;&gt;"외국인", ROUNDDOWN(AA172*$AH$1%,-1), IF(AND(AM172&lt;&gt;"", ISNUMBER(SEARCH(LEFT(SUBSTITUTE(AM172, "-",""),2), "F2_F5_F6"))), ROUNDDOWN(AA172*$AH$1%,-1), 0)),0)</f>
        <v>0</v>
      </c>
      <c r="AD172" s="64">
        <f t="shared" ref="AD172" si="3329">IF(Z172&gt;=$AJ$1,ROUNDDOWN(AA172*$AH$2%,-1),0)</f>
        <v>0</v>
      </c>
      <c r="AE172" s="112">
        <f t="shared" ref="AE172" ca="1" si="3330">AB172+AC172+AB173+AC173+AD172+AD173</f>
        <v>0</v>
      </c>
      <c r="AF172" s="112">
        <f t="shared" ref="AF172" ca="1" si="3331">AA172-AE172</f>
        <v>0</v>
      </c>
      <c r="AG172" s="116"/>
      <c r="AH172" s="116"/>
      <c r="AI172" s="116"/>
      <c r="AJ172" s="116"/>
      <c r="AK172" s="149"/>
      <c r="AL172" s="149"/>
      <c r="AM172" s="115"/>
      <c r="AN172" s="113" t="str">
        <f t="shared" ref="AN172" ca="1" si="3332">IFERROR(DATEDIF(DATE(IF(ISNUMBER(FIND(MID( SUBSTITUTE(D172, "-",""), 7, 1), "3478")), 2000, 1900)+MID(D172,1,2), MID(D172,3,2), MID(D172,5,2)), TODAY(), "Y"),"")</f>
        <v/>
      </c>
      <c r="AO172" s="112">
        <f>ROUNDDOWN(SUM(AP172:BE173),-1)</f>
        <v>0</v>
      </c>
      <c r="AP172" s="11">
        <f t="shared" ref="AP172" si="3333">IF($H172*I172&gt;150000,ROUNDDOWN(($H172*I172-150000)*6%*45%,0),0)</f>
        <v>0</v>
      </c>
      <c r="AQ172" s="12">
        <f t="shared" ref="AQ172" si="3334">IF($H172*J172&gt;150000,ROUNDDOWN(($H172*J172-150000)*6%*45%,0),0)</f>
        <v>0</v>
      </c>
      <c r="AR172" s="12">
        <f t="shared" ref="AR172" si="3335">IF($H172*K172&gt;150000,ROUNDDOWN(($H172*K172-150000)*6%*45%,0),0)</f>
        <v>0</v>
      </c>
      <c r="AS172" s="12">
        <f t="shared" ref="AS172" si="3336">IF($H172*L172&gt;150000,ROUNDDOWN(($H172*L172-150000)*6%*45%,0),0)</f>
        <v>0</v>
      </c>
      <c r="AT172" s="12">
        <f t="shared" ref="AT172" si="3337">IF($H172*M172&gt;150000,ROUNDDOWN(($H172*M172-150000)*6%*45%,0),0)</f>
        <v>0</v>
      </c>
      <c r="AU172" s="12">
        <f t="shared" ref="AU172" si="3338">IF($H172*N172&gt;150000,ROUNDDOWN(($H172*N172-150000)*6%*45%,0),0)</f>
        <v>0</v>
      </c>
      <c r="AV172" s="12">
        <f t="shared" ref="AV172" si="3339">IF($H172*O172&gt;150000,ROUNDDOWN(($H172*O172-150000)*6%*45%,0),0)</f>
        <v>0</v>
      </c>
      <c r="AW172" s="12">
        <f t="shared" ref="AW172" si="3340">IF($H172*P172&gt;150000,ROUNDDOWN(($H172*P172-150000)*6%*45%,0),0)</f>
        <v>0</v>
      </c>
      <c r="AX172" s="12">
        <f t="shared" ref="AX172" si="3341">IF($H172*Q172&gt;150000,ROUNDDOWN(($H172*Q172-150000)*6%*45%,0),0)</f>
        <v>0</v>
      </c>
      <c r="AY172" s="12">
        <f t="shared" ref="AY172" si="3342">IF($H172*R172&gt;150000,ROUNDDOWN(($H172*R172-150000)*6%*45%,0),0)</f>
        <v>0</v>
      </c>
      <c r="AZ172" s="12">
        <f t="shared" ref="AZ172" si="3343">IF($H172*S172&gt;150000,ROUNDDOWN(($H172*S172-150000)*6%*45%,0),0)</f>
        <v>0</v>
      </c>
      <c r="BA172" s="12">
        <f t="shared" ref="BA172" si="3344">IF($H172*T172&gt;150000,ROUNDDOWN(($H172*T172-150000)*6%*45%,0),0)</f>
        <v>0</v>
      </c>
      <c r="BB172" s="12">
        <f t="shared" ref="BB172" si="3345">IF($H172*U172&gt;150000,ROUNDDOWN(($H172*U172-150000)*6%*45%,0),0)</f>
        <v>0</v>
      </c>
      <c r="BC172" s="12">
        <f t="shared" ref="BC172" si="3346">IF($H172*V172&gt;150000,ROUNDDOWN(($H172*V172-150000)*6%*45%,0),0)</f>
        <v>0</v>
      </c>
      <c r="BD172" s="13">
        <f t="shared" ref="BD172" si="3347">IF($H172*W172&gt;150000,ROUNDDOWN(($H172*W172-150000)*6%*45%,0),0)</f>
        <v>0</v>
      </c>
      <c r="BE172" s="14"/>
    </row>
    <row r="173" spans="1:58" x14ac:dyDescent="0.3">
      <c r="A173" s="142"/>
      <c r="B173" s="116"/>
      <c r="C173" s="116"/>
      <c r="D173" s="143"/>
      <c r="E173" s="116"/>
      <c r="F173" s="116"/>
      <c r="G173" s="144"/>
      <c r="H173" s="112"/>
      <c r="I173" s="43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5"/>
      <c r="Y173" s="145"/>
      <c r="Z173" s="116"/>
      <c r="AA173" s="112"/>
      <c r="AB173" s="65">
        <f t="shared" ref="AB173" si="3348">ROUNDDOWN(AB172*10%,-1)</f>
        <v>0</v>
      </c>
      <c r="AC173" s="66">
        <f t="shared" ref="AC173" ca="1" si="3349">IFERROR(IF(AND( OR(COUNTIF(I172:X173, "&gt;0")&gt;=$AJ$1, AA172&gt;=$AJ$4),AN172&lt;60,AA172&lt;=$AH$5),ROUNDDOWN(ROUNDDOWN(AA172,-3)*$AH$4%,-1),IF(AND(COUNTIF(I172:X173,"&gt;0")&gt;=$AJ$1,AN172&lt;60,AA172&gt;$AH$5),$AJ$5,0)),0)</f>
        <v>0</v>
      </c>
      <c r="AD173" s="67">
        <f t="shared" ref="AD173" si="3350">IF(Z172&gt;=$AJ$1,ROUNDDOWN(AD172*$AH$3%/($AH$2*2%),-1),0)</f>
        <v>0</v>
      </c>
      <c r="AE173" s="112"/>
      <c r="AF173" s="112"/>
      <c r="AG173" s="116"/>
      <c r="AH173" s="116"/>
      <c r="AI173" s="116"/>
      <c r="AJ173" s="116"/>
      <c r="AK173" s="149"/>
      <c r="AL173" s="149"/>
      <c r="AM173" s="115"/>
      <c r="AN173" s="113"/>
      <c r="AO173" s="112"/>
      <c r="AP173" s="15">
        <f t="shared" ref="AP173" si="3351">IF($H172*I173&gt;150000,ROUNDDOWN(($H172*I173-150000)*6%*45%,0),0)</f>
        <v>0</v>
      </c>
      <c r="AQ173" s="16">
        <f t="shared" ref="AQ173" si="3352">IF($H172*J173&gt;150000,ROUNDDOWN(($H172*J173-150000)*6%*45%,0),0)</f>
        <v>0</v>
      </c>
      <c r="AR173" s="16">
        <f t="shared" ref="AR173" si="3353">IF($H172*K173&gt;150000,ROUNDDOWN(($H172*K173-150000)*6%*45%,0),0)</f>
        <v>0</v>
      </c>
      <c r="AS173" s="16">
        <f t="shared" ref="AS173" si="3354">IF($H172*L173&gt;150000,ROUNDDOWN(($H172*L173-150000)*6%*45%,0),0)</f>
        <v>0</v>
      </c>
      <c r="AT173" s="16">
        <f t="shared" ref="AT173" si="3355">IF($H172*M173&gt;150000,ROUNDDOWN(($H172*M173-150000)*6%*45%,0),0)</f>
        <v>0</v>
      </c>
      <c r="AU173" s="16">
        <f t="shared" ref="AU173" si="3356">IF($H172*N173&gt;150000,ROUNDDOWN(($H172*N173-150000)*6%*45%,0),0)</f>
        <v>0</v>
      </c>
      <c r="AV173" s="16">
        <f t="shared" ref="AV173" si="3357">IF($H172*O173&gt;150000,ROUNDDOWN(($H172*O173-150000)*6%*45%,0),0)</f>
        <v>0</v>
      </c>
      <c r="AW173" s="16">
        <f t="shared" ref="AW173" si="3358">IF($H172*P173&gt;150000,ROUNDDOWN(($H172*P173-150000)*6%*45%,0),0)</f>
        <v>0</v>
      </c>
      <c r="AX173" s="16">
        <f t="shared" ref="AX173" si="3359">IF($H172*Q173&gt;150000,ROUNDDOWN(($H172*Q173-150000)*6%*45%,0),0)</f>
        <v>0</v>
      </c>
      <c r="AY173" s="16">
        <f t="shared" ref="AY173" si="3360">IF($H172*R173&gt;150000,ROUNDDOWN(($H172*R173-150000)*6%*45%,0),0)</f>
        <v>0</v>
      </c>
      <c r="AZ173" s="16">
        <f t="shared" ref="AZ173" si="3361">IF($H172*S173&gt;150000,ROUNDDOWN(($H172*S173-150000)*6%*45%,0),0)</f>
        <v>0</v>
      </c>
      <c r="BA173" s="16">
        <f t="shared" ref="BA173" si="3362">IF($H172*T173&gt;150000,ROUNDDOWN(($H172*T173-150000)*6%*45%,0),0)</f>
        <v>0</v>
      </c>
      <c r="BB173" s="16">
        <f t="shared" ref="BB173" si="3363">IF($H172*U173&gt;150000,ROUNDDOWN(($H172*U173-150000)*6%*45%,0),0)</f>
        <v>0</v>
      </c>
      <c r="BC173" s="16">
        <f t="shared" ref="BC173" si="3364">IF($H172*V173&gt;150000,ROUNDDOWN(($H172*V173-150000)*6%*45%,0),0)</f>
        <v>0</v>
      </c>
      <c r="BD173" s="16">
        <f t="shared" ref="BD173" si="3365">IF($H172*W173&gt;150000,ROUNDDOWN(($H172*W173-150000)*6%*45%,0),0)</f>
        <v>0</v>
      </c>
      <c r="BE173" s="17">
        <f t="shared" ref="BE173" si="3366">IF($H172*X173&gt;150000,ROUNDDOWN(($H172*X173-150000)*6%*45%,0),0)</f>
        <v>0</v>
      </c>
      <c r="BF173" s="28"/>
    </row>
    <row r="174" spans="1:58" x14ac:dyDescent="0.3">
      <c r="A174" s="142">
        <v>84</v>
      </c>
      <c r="B174" s="116" t="str">
        <f t="shared" ref="B174" si="3367">IF(LEN(D174)&gt;1,IF(VALUE(MID(RIGHT(D174,7),1,1))&gt;4,"외국인",IF(VALUE(RIGHT(11-MOD((MID(D174,1,1)*2+MID(D174,2,1)*3+MID(D174,3,1)*4+MID(D174,4,1)*5+MID(D174,5,1)*6+MID(D174,6,1)*7+MID(RIGHT(D174,7),1,1)*8+MID(RIGHT(D174,7),2,1)*9+MID(RIGHT(D174,7),3,1)*2+MID(RIGHT(D174,7),4,1)*3+MID(RIGHT(D174,7),5,1)*4+MID(RIGHT(D174,7),6,1)*5),11),1))=VALUE(RIGHT(D174,1)),"","오류")),"")</f>
        <v/>
      </c>
      <c r="C174" s="116"/>
      <c r="D174" s="143"/>
      <c r="E174" s="116"/>
      <c r="F174" s="116"/>
      <c r="G174" s="144"/>
      <c r="H174" s="112"/>
      <c r="I174" s="38"/>
      <c r="J174" s="39"/>
      <c r="K174" s="39"/>
      <c r="L174" s="39"/>
      <c r="M174" s="39"/>
      <c r="N174" s="39"/>
      <c r="O174" s="39"/>
      <c r="P174" s="39"/>
      <c r="Q174" s="39"/>
      <c r="R174" s="39"/>
      <c r="S174" s="40"/>
      <c r="T174" s="40"/>
      <c r="U174" s="39"/>
      <c r="V174" s="39"/>
      <c r="W174" s="41"/>
      <c r="X174" s="42"/>
      <c r="Y174" s="145">
        <f>SUM(I174:X175)</f>
        <v>0</v>
      </c>
      <c r="Z174" s="116">
        <f>COUNTIF(I174:X175,"&gt;0")</f>
        <v>0</v>
      </c>
      <c r="AA174" s="112">
        <f t="shared" ref="AA174" si="3368">H174*Y174</f>
        <v>0</v>
      </c>
      <c r="AB174" s="62">
        <f t="shared" ref="AB174" si="3369">IF(AO174&lt;1000, 0, AO174)</f>
        <v>0</v>
      </c>
      <c r="AC174" s="63">
        <f ca="1">IF(IFERROR($AN174&lt;65,FALSE), IF(B174&lt;&gt;"외국인", ROUNDDOWN(AA174*$AH$1%,-1), IF(AND(AM174&lt;&gt;"", ISNUMBER(SEARCH(LEFT(SUBSTITUTE(AM174, "-",""),2), "F2_F5_F6"))), ROUNDDOWN(AA174*$AH$1%,-1), 0)),0)</f>
        <v>0</v>
      </c>
      <c r="AD174" s="64">
        <f t="shared" ref="AD174" si="3370">IF(Z174&gt;=$AJ$1,ROUNDDOWN(AA174*$AH$2%,-1),0)</f>
        <v>0</v>
      </c>
      <c r="AE174" s="112">
        <f t="shared" ref="AE174" ca="1" si="3371">AB174+AC174+AB175+AC175+AD174+AD175</f>
        <v>0</v>
      </c>
      <c r="AF174" s="112">
        <f t="shared" ref="AF174" ca="1" si="3372">AA174-AE174</f>
        <v>0</v>
      </c>
      <c r="AG174" s="116"/>
      <c r="AH174" s="116"/>
      <c r="AI174" s="116"/>
      <c r="AJ174" s="116"/>
      <c r="AK174" s="149"/>
      <c r="AL174" s="149"/>
      <c r="AM174" s="115"/>
      <c r="AN174" s="113" t="str">
        <f t="shared" ref="AN174" ca="1" si="3373">IFERROR(DATEDIF(DATE(IF(ISNUMBER(FIND(MID( SUBSTITUTE(D174, "-",""), 7, 1), "3478")), 2000, 1900)+MID(D174,1,2), MID(D174,3,2), MID(D174,5,2)), TODAY(), "Y"),"")</f>
        <v/>
      </c>
      <c r="AO174" s="112">
        <f>ROUNDDOWN(SUM(AP174:BE175),-1)</f>
        <v>0</v>
      </c>
      <c r="AP174" s="11">
        <f t="shared" ref="AP174" si="3374">IF($H174*I174&gt;150000,ROUNDDOWN(($H174*I174-150000)*6%*45%,0),0)</f>
        <v>0</v>
      </c>
      <c r="AQ174" s="12">
        <f t="shared" ref="AQ174" si="3375">IF($H174*J174&gt;150000,ROUNDDOWN(($H174*J174-150000)*6%*45%,0),0)</f>
        <v>0</v>
      </c>
      <c r="AR174" s="12">
        <f t="shared" ref="AR174" si="3376">IF($H174*K174&gt;150000,ROUNDDOWN(($H174*K174-150000)*6%*45%,0),0)</f>
        <v>0</v>
      </c>
      <c r="AS174" s="12">
        <f t="shared" ref="AS174" si="3377">IF($H174*L174&gt;150000,ROUNDDOWN(($H174*L174-150000)*6%*45%,0),0)</f>
        <v>0</v>
      </c>
      <c r="AT174" s="12">
        <f t="shared" ref="AT174" si="3378">IF($H174*M174&gt;150000,ROUNDDOWN(($H174*M174-150000)*6%*45%,0),0)</f>
        <v>0</v>
      </c>
      <c r="AU174" s="12">
        <f t="shared" ref="AU174" si="3379">IF($H174*N174&gt;150000,ROUNDDOWN(($H174*N174-150000)*6%*45%,0),0)</f>
        <v>0</v>
      </c>
      <c r="AV174" s="12">
        <f t="shared" ref="AV174" si="3380">IF($H174*O174&gt;150000,ROUNDDOWN(($H174*O174-150000)*6%*45%,0),0)</f>
        <v>0</v>
      </c>
      <c r="AW174" s="12">
        <f t="shared" ref="AW174" si="3381">IF($H174*P174&gt;150000,ROUNDDOWN(($H174*P174-150000)*6%*45%,0),0)</f>
        <v>0</v>
      </c>
      <c r="AX174" s="12">
        <f t="shared" ref="AX174" si="3382">IF($H174*Q174&gt;150000,ROUNDDOWN(($H174*Q174-150000)*6%*45%,0),0)</f>
        <v>0</v>
      </c>
      <c r="AY174" s="12">
        <f t="shared" ref="AY174" si="3383">IF($H174*R174&gt;150000,ROUNDDOWN(($H174*R174-150000)*6%*45%,0),0)</f>
        <v>0</v>
      </c>
      <c r="AZ174" s="12">
        <f t="shared" ref="AZ174" si="3384">IF($H174*S174&gt;150000,ROUNDDOWN(($H174*S174-150000)*6%*45%,0),0)</f>
        <v>0</v>
      </c>
      <c r="BA174" s="12">
        <f t="shared" ref="BA174" si="3385">IF($H174*T174&gt;150000,ROUNDDOWN(($H174*T174-150000)*6%*45%,0),0)</f>
        <v>0</v>
      </c>
      <c r="BB174" s="12">
        <f t="shared" ref="BB174" si="3386">IF($H174*U174&gt;150000,ROUNDDOWN(($H174*U174-150000)*6%*45%,0),0)</f>
        <v>0</v>
      </c>
      <c r="BC174" s="12">
        <f t="shared" ref="BC174" si="3387">IF($H174*V174&gt;150000,ROUNDDOWN(($H174*V174-150000)*6%*45%,0),0)</f>
        <v>0</v>
      </c>
      <c r="BD174" s="13">
        <f t="shared" ref="BD174" si="3388">IF($H174*W174&gt;150000,ROUNDDOWN(($H174*W174-150000)*6%*45%,0),0)</f>
        <v>0</v>
      </c>
      <c r="BE174" s="14"/>
    </row>
    <row r="175" spans="1:58" x14ac:dyDescent="0.3">
      <c r="A175" s="142"/>
      <c r="B175" s="116"/>
      <c r="C175" s="116"/>
      <c r="D175" s="143"/>
      <c r="E175" s="116"/>
      <c r="F175" s="116"/>
      <c r="G175" s="144"/>
      <c r="H175" s="112"/>
      <c r="I175" s="43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5"/>
      <c r="Y175" s="145"/>
      <c r="Z175" s="116"/>
      <c r="AA175" s="112"/>
      <c r="AB175" s="65">
        <f t="shared" ref="AB175" si="3389">ROUNDDOWN(AB174*10%,-1)</f>
        <v>0</v>
      </c>
      <c r="AC175" s="66">
        <f t="shared" ref="AC175" ca="1" si="3390">IFERROR(IF(AND( OR(COUNTIF(I174:X175, "&gt;0")&gt;=$AJ$1, AA174&gt;=$AJ$4),AN174&lt;60,AA174&lt;=$AH$5),ROUNDDOWN(ROUNDDOWN(AA174,-3)*$AH$4%,-1),IF(AND(COUNTIF(I174:X175,"&gt;0")&gt;=$AJ$1,AN174&lt;60,AA174&gt;$AH$5),$AJ$5,0)),0)</f>
        <v>0</v>
      </c>
      <c r="AD175" s="67">
        <f t="shared" ref="AD175" si="3391">IF(Z174&gt;=$AJ$1,ROUNDDOWN(AD174*$AH$3%/($AH$2*2%),-1),0)</f>
        <v>0</v>
      </c>
      <c r="AE175" s="112"/>
      <c r="AF175" s="112"/>
      <c r="AG175" s="116"/>
      <c r="AH175" s="116"/>
      <c r="AI175" s="116"/>
      <c r="AJ175" s="116"/>
      <c r="AK175" s="149"/>
      <c r="AL175" s="149"/>
      <c r="AM175" s="115"/>
      <c r="AN175" s="113"/>
      <c r="AO175" s="112"/>
      <c r="AP175" s="15">
        <f t="shared" ref="AP175" si="3392">IF($H174*I175&gt;150000,ROUNDDOWN(($H174*I175-150000)*6%*45%,0),0)</f>
        <v>0</v>
      </c>
      <c r="AQ175" s="16">
        <f t="shared" ref="AQ175" si="3393">IF($H174*J175&gt;150000,ROUNDDOWN(($H174*J175-150000)*6%*45%,0),0)</f>
        <v>0</v>
      </c>
      <c r="AR175" s="16">
        <f t="shared" ref="AR175" si="3394">IF($H174*K175&gt;150000,ROUNDDOWN(($H174*K175-150000)*6%*45%,0),0)</f>
        <v>0</v>
      </c>
      <c r="AS175" s="16">
        <f t="shared" ref="AS175" si="3395">IF($H174*L175&gt;150000,ROUNDDOWN(($H174*L175-150000)*6%*45%,0),0)</f>
        <v>0</v>
      </c>
      <c r="AT175" s="16">
        <f t="shared" ref="AT175" si="3396">IF($H174*M175&gt;150000,ROUNDDOWN(($H174*M175-150000)*6%*45%,0),0)</f>
        <v>0</v>
      </c>
      <c r="AU175" s="16">
        <f t="shared" ref="AU175" si="3397">IF($H174*N175&gt;150000,ROUNDDOWN(($H174*N175-150000)*6%*45%,0),0)</f>
        <v>0</v>
      </c>
      <c r="AV175" s="16">
        <f t="shared" ref="AV175" si="3398">IF($H174*O175&gt;150000,ROUNDDOWN(($H174*O175-150000)*6%*45%,0),0)</f>
        <v>0</v>
      </c>
      <c r="AW175" s="16">
        <f t="shared" ref="AW175" si="3399">IF($H174*P175&gt;150000,ROUNDDOWN(($H174*P175-150000)*6%*45%,0),0)</f>
        <v>0</v>
      </c>
      <c r="AX175" s="16">
        <f t="shared" ref="AX175" si="3400">IF($H174*Q175&gt;150000,ROUNDDOWN(($H174*Q175-150000)*6%*45%,0),0)</f>
        <v>0</v>
      </c>
      <c r="AY175" s="16">
        <f t="shared" ref="AY175" si="3401">IF($H174*R175&gt;150000,ROUNDDOWN(($H174*R175-150000)*6%*45%,0),0)</f>
        <v>0</v>
      </c>
      <c r="AZ175" s="16">
        <f t="shared" ref="AZ175" si="3402">IF($H174*S175&gt;150000,ROUNDDOWN(($H174*S175-150000)*6%*45%,0),0)</f>
        <v>0</v>
      </c>
      <c r="BA175" s="16">
        <f t="shared" ref="BA175" si="3403">IF($H174*T175&gt;150000,ROUNDDOWN(($H174*T175-150000)*6%*45%,0),0)</f>
        <v>0</v>
      </c>
      <c r="BB175" s="16">
        <f t="shared" ref="BB175" si="3404">IF($H174*U175&gt;150000,ROUNDDOWN(($H174*U175-150000)*6%*45%,0),0)</f>
        <v>0</v>
      </c>
      <c r="BC175" s="16">
        <f t="shared" ref="BC175" si="3405">IF($H174*V175&gt;150000,ROUNDDOWN(($H174*V175-150000)*6%*45%,0),0)</f>
        <v>0</v>
      </c>
      <c r="BD175" s="16">
        <f t="shared" ref="BD175" si="3406">IF($H174*W175&gt;150000,ROUNDDOWN(($H174*W175-150000)*6%*45%,0),0)</f>
        <v>0</v>
      </c>
      <c r="BE175" s="17">
        <f t="shared" ref="BE175" si="3407">IF($H174*X175&gt;150000,ROUNDDOWN(($H174*X175-150000)*6%*45%,0),0)</f>
        <v>0</v>
      </c>
      <c r="BF175" s="28"/>
    </row>
    <row r="176" spans="1:58" x14ac:dyDescent="0.3">
      <c r="A176" s="142">
        <v>85</v>
      </c>
      <c r="B176" s="116" t="str">
        <f t="shared" ref="B176" si="3408">IF(LEN(D176)&gt;1,IF(VALUE(MID(RIGHT(D176,7),1,1))&gt;4,"외국인",IF(VALUE(RIGHT(11-MOD((MID(D176,1,1)*2+MID(D176,2,1)*3+MID(D176,3,1)*4+MID(D176,4,1)*5+MID(D176,5,1)*6+MID(D176,6,1)*7+MID(RIGHT(D176,7),1,1)*8+MID(RIGHT(D176,7),2,1)*9+MID(RIGHT(D176,7),3,1)*2+MID(RIGHT(D176,7),4,1)*3+MID(RIGHT(D176,7),5,1)*4+MID(RIGHT(D176,7),6,1)*5),11),1))=VALUE(RIGHT(D176,1)),"","오류")),"")</f>
        <v/>
      </c>
      <c r="C176" s="116"/>
      <c r="D176" s="143"/>
      <c r="E176" s="116"/>
      <c r="F176" s="116"/>
      <c r="G176" s="144"/>
      <c r="H176" s="112"/>
      <c r="I176" s="38"/>
      <c r="J176" s="39"/>
      <c r="K176" s="39"/>
      <c r="L176" s="39"/>
      <c r="M176" s="39"/>
      <c r="N176" s="39"/>
      <c r="O176" s="39"/>
      <c r="P176" s="39"/>
      <c r="Q176" s="39"/>
      <c r="R176" s="39"/>
      <c r="S176" s="40"/>
      <c r="T176" s="40"/>
      <c r="U176" s="39"/>
      <c r="V176" s="39"/>
      <c r="W176" s="41"/>
      <c r="X176" s="42"/>
      <c r="Y176" s="145">
        <f>SUM(I176:X177)</f>
        <v>0</v>
      </c>
      <c r="Z176" s="116">
        <f>COUNTIF(I176:X177,"&gt;0")</f>
        <v>0</v>
      </c>
      <c r="AA176" s="112">
        <f t="shared" ref="AA176" si="3409">H176*Y176</f>
        <v>0</v>
      </c>
      <c r="AB176" s="62">
        <f t="shared" ref="AB176" si="3410">IF(AO176&lt;1000, 0, AO176)</f>
        <v>0</v>
      </c>
      <c r="AC176" s="63">
        <f ca="1">IF(IFERROR($AN176&lt;65,FALSE), IF(B176&lt;&gt;"외국인", ROUNDDOWN(AA176*$AH$1%,-1), IF(AND(AM176&lt;&gt;"", ISNUMBER(SEARCH(LEFT(SUBSTITUTE(AM176, "-",""),2), "F2_F5_F6"))), ROUNDDOWN(AA176*$AH$1%,-1), 0)),0)</f>
        <v>0</v>
      </c>
      <c r="AD176" s="64">
        <f t="shared" ref="AD176" si="3411">IF(Z176&gt;=$AJ$1,ROUNDDOWN(AA176*$AH$2%,-1),0)</f>
        <v>0</v>
      </c>
      <c r="AE176" s="112">
        <f t="shared" ref="AE176" ca="1" si="3412">AB176+AC176+AB177+AC177+AD176+AD177</f>
        <v>0</v>
      </c>
      <c r="AF176" s="112">
        <f t="shared" ref="AF176" ca="1" si="3413">AA176-AE176</f>
        <v>0</v>
      </c>
      <c r="AG176" s="116"/>
      <c r="AH176" s="116"/>
      <c r="AI176" s="116"/>
      <c r="AJ176" s="116"/>
      <c r="AK176" s="149"/>
      <c r="AL176" s="149"/>
      <c r="AM176" s="115"/>
      <c r="AN176" s="113" t="str">
        <f t="shared" ref="AN176" ca="1" si="3414">IFERROR(DATEDIF(DATE(IF(ISNUMBER(FIND(MID( SUBSTITUTE(D176, "-",""), 7, 1), "3478")), 2000, 1900)+MID(D176,1,2), MID(D176,3,2), MID(D176,5,2)), TODAY(), "Y"),"")</f>
        <v/>
      </c>
      <c r="AO176" s="112">
        <f>ROUNDDOWN(SUM(AP176:BE177),-1)</f>
        <v>0</v>
      </c>
      <c r="AP176" s="11">
        <f t="shared" ref="AP176" si="3415">IF($H176*I176&gt;150000,ROUNDDOWN(($H176*I176-150000)*6%*45%,0),0)</f>
        <v>0</v>
      </c>
      <c r="AQ176" s="12">
        <f t="shared" ref="AQ176" si="3416">IF($H176*J176&gt;150000,ROUNDDOWN(($H176*J176-150000)*6%*45%,0),0)</f>
        <v>0</v>
      </c>
      <c r="AR176" s="12">
        <f t="shared" ref="AR176" si="3417">IF($H176*K176&gt;150000,ROUNDDOWN(($H176*K176-150000)*6%*45%,0),0)</f>
        <v>0</v>
      </c>
      <c r="AS176" s="12">
        <f t="shared" ref="AS176" si="3418">IF($H176*L176&gt;150000,ROUNDDOWN(($H176*L176-150000)*6%*45%,0),0)</f>
        <v>0</v>
      </c>
      <c r="AT176" s="12">
        <f t="shared" ref="AT176" si="3419">IF($H176*M176&gt;150000,ROUNDDOWN(($H176*M176-150000)*6%*45%,0),0)</f>
        <v>0</v>
      </c>
      <c r="AU176" s="12">
        <f t="shared" ref="AU176" si="3420">IF($H176*N176&gt;150000,ROUNDDOWN(($H176*N176-150000)*6%*45%,0),0)</f>
        <v>0</v>
      </c>
      <c r="AV176" s="12">
        <f t="shared" ref="AV176" si="3421">IF($H176*O176&gt;150000,ROUNDDOWN(($H176*O176-150000)*6%*45%,0),0)</f>
        <v>0</v>
      </c>
      <c r="AW176" s="12">
        <f t="shared" ref="AW176" si="3422">IF($H176*P176&gt;150000,ROUNDDOWN(($H176*P176-150000)*6%*45%,0),0)</f>
        <v>0</v>
      </c>
      <c r="AX176" s="12">
        <f t="shared" ref="AX176" si="3423">IF($H176*Q176&gt;150000,ROUNDDOWN(($H176*Q176-150000)*6%*45%,0),0)</f>
        <v>0</v>
      </c>
      <c r="AY176" s="12">
        <f t="shared" ref="AY176" si="3424">IF($H176*R176&gt;150000,ROUNDDOWN(($H176*R176-150000)*6%*45%,0),0)</f>
        <v>0</v>
      </c>
      <c r="AZ176" s="12">
        <f t="shared" ref="AZ176" si="3425">IF($H176*S176&gt;150000,ROUNDDOWN(($H176*S176-150000)*6%*45%,0),0)</f>
        <v>0</v>
      </c>
      <c r="BA176" s="12">
        <f t="shared" ref="BA176" si="3426">IF($H176*T176&gt;150000,ROUNDDOWN(($H176*T176-150000)*6%*45%,0),0)</f>
        <v>0</v>
      </c>
      <c r="BB176" s="12">
        <f t="shared" ref="BB176" si="3427">IF($H176*U176&gt;150000,ROUNDDOWN(($H176*U176-150000)*6%*45%,0),0)</f>
        <v>0</v>
      </c>
      <c r="BC176" s="12">
        <f t="shared" ref="BC176" si="3428">IF($H176*V176&gt;150000,ROUNDDOWN(($H176*V176-150000)*6%*45%,0),0)</f>
        <v>0</v>
      </c>
      <c r="BD176" s="13">
        <f t="shared" ref="BD176" si="3429">IF($H176*W176&gt;150000,ROUNDDOWN(($H176*W176-150000)*6%*45%,0),0)</f>
        <v>0</v>
      </c>
      <c r="BE176" s="14"/>
    </row>
    <row r="177" spans="1:58" x14ac:dyDescent="0.3">
      <c r="A177" s="142"/>
      <c r="B177" s="116"/>
      <c r="C177" s="116"/>
      <c r="D177" s="143"/>
      <c r="E177" s="116"/>
      <c r="F177" s="116"/>
      <c r="G177" s="144"/>
      <c r="H177" s="112"/>
      <c r="I177" s="43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5"/>
      <c r="Y177" s="145"/>
      <c r="Z177" s="116"/>
      <c r="AA177" s="112"/>
      <c r="AB177" s="65">
        <f t="shared" ref="AB177" si="3430">ROUNDDOWN(AB176*10%,-1)</f>
        <v>0</v>
      </c>
      <c r="AC177" s="66">
        <f t="shared" ref="AC177" ca="1" si="3431">IFERROR(IF(AND( OR(COUNTIF(I176:X177, "&gt;0")&gt;=$AJ$1, AA176&gt;=$AJ$4),AN176&lt;60,AA176&lt;=$AH$5),ROUNDDOWN(ROUNDDOWN(AA176,-3)*$AH$4%,-1),IF(AND(COUNTIF(I176:X177,"&gt;0")&gt;=$AJ$1,AN176&lt;60,AA176&gt;$AH$5),$AJ$5,0)),0)</f>
        <v>0</v>
      </c>
      <c r="AD177" s="67">
        <f t="shared" ref="AD177" si="3432">IF(Z176&gt;=$AJ$1,ROUNDDOWN(AD176*$AH$3%/($AH$2*2%),-1),0)</f>
        <v>0</v>
      </c>
      <c r="AE177" s="112"/>
      <c r="AF177" s="112"/>
      <c r="AG177" s="116"/>
      <c r="AH177" s="116"/>
      <c r="AI177" s="116"/>
      <c r="AJ177" s="116"/>
      <c r="AK177" s="149"/>
      <c r="AL177" s="149"/>
      <c r="AM177" s="115"/>
      <c r="AN177" s="113"/>
      <c r="AO177" s="112"/>
      <c r="AP177" s="15">
        <f t="shared" ref="AP177" si="3433">IF($H176*I177&gt;150000,ROUNDDOWN(($H176*I177-150000)*6%*45%,0),0)</f>
        <v>0</v>
      </c>
      <c r="AQ177" s="16">
        <f t="shared" ref="AQ177" si="3434">IF($H176*J177&gt;150000,ROUNDDOWN(($H176*J177-150000)*6%*45%,0),0)</f>
        <v>0</v>
      </c>
      <c r="AR177" s="16">
        <f t="shared" ref="AR177" si="3435">IF($H176*K177&gt;150000,ROUNDDOWN(($H176*K177-150000)*6%*45%,0),0)</f>
        <v>0</v>
      </c>
      <c r="AS177" s="16">
        <f t="shared" ref="AS177" si="3436">IF($H176*L177&gt;150000,ROUNDDOWN(($H176*L177-150000)*6%*45%,0),0)</f>
        <v>0</v>
      </c>
      <c r="AT177" s="16">
        <f t="shared" ref="AT177" si="3437">IF($H176*M177&gt;150000,ROUNDDOWN(($H176*M177-150000)*6%*45%,0),0)</f>
        <v>0</v>
      </c>
      <c r="AU177" s="16">
        <f t="shared" ref="AU177" si="3438">IF($H176*N177&gt;150000,ROUNDDOWN(($H176*N177-150000)*6%*45%,0),0)</f>
        <v>0</v>
      </c>
      <c r="AV177" s="16">
        <f t="shared" ref="AV177" si="3439">IF($H176*O177&gt;150000,ROUNDDOWN(($H176*O177-150000)*6%*45%,0),0)</f>
        <v>0</v>
      </c>
      <c r="AW177" s="16">
        <f t="shared" ref="AW177" si="3440">IF($H176*P177&gt;150000,ROUNDDOWN(($H176*P177-150000)*6%*45%,0),0)</f>
        <v>0</v>
      </c>
      <c r="AX177" s="16">
        <f t="shared" ref="AX177" si="3441">IF($H176*Q177&gt;150000,ROUNDDOWN(($H176*Q177-150000)*6%*45%,0),0)</f>
        <v>0</v>
      </c>
      <c r="AY177" s="16">
        <f t="shared" ref="AY177" si="3442">IF($H176*R177&gt;150000,ROUNDDOWN(($H176*R177-150000)*6%*45%,0),0)</f>
        <v>0</v>
      </c>
      <c r="AZ177" s="16">
        <f t="shared" ref="AZ177" si="3443">IF($H176*S177&gt;150000,ROUNDDOWN(($H176*S177-150000)*6%*45%,0),0)</f>
        <v>0</v>
      </c>
      <c r="BA177" s="16">
        <f t="shared" ref="BA177" si="3444">IF($H176*T177&gt;150000,ROUNDDOWN(($H176*T177-150000)*6%*45%,0),0)</f>
        <v>0</v>
      </c>
      <c r="BB177" s="16">
        <f t="shared" ref="BB177" si="3445">IF($H176*U177&gt;150000,ROUNDDOWN(($H176*U177-150000)*6%*45%,0),0)</f>
        <v>0</v>
      </c>
      <c r="BC177" s="16">
        <f t="shared" ref="BC177" si="3446">IF($H176*V177&gt;150000,ROUNDDOWN(($H176*V177-150000)*6%*45%,0),0)</f>
        <v>0</v>
      </c>
      <c r="BD177" s="16">
        <f t="shared" ref="BD177" si="3447">IF($H176*W177&gt;150000,ROUNDDOWN(($H176*W177-150000)*6%*45%,0),0)</f>
        <v>0</v>
      </c>
      <c r="BE177" s="17">
        <f t="shared" ref="BE177" si="3448">IF($H176*X177&gt;150000,ROUNDDOWN(($H176*X177-150000)*6%*45%,0),0)</f>
        <v>0</v>
      </c>
      <c r="BF177" s="28"/>
    </row>
    <row r="178" spans="1:58" x14ac:dyDescent="0.3">
      <c r="A178" s="142">
        <v>86</v>
      </c>
      <c r="B178" s="116" t="str">
        <f t="shared" ref="B178" si="3449">IF(LEN(D178)&gt;1,IF(VALUE(MID(RIGHT(D178,7),1,1))&gt;4,"외국인",IF(VALUE(RIGHT(11-MOD((MID(D178,1,1)*2+MID(D178,2,1)*3+MID(D178,3,1)*4+MID(D178,4,1)*5+MID(D178,5,1)*6+MID(D178,6,1)*7+MID(RIGHT(D178,7),1,1)*8+MID(RIGHT(D178,7),2,1)*9+MID(RIGHT(D178,7),3,1)*2+MID(RIGHT(D178,7),4,1)*3+MID(RIGHT(D178,7),5,1)*4+MID(RIGHT(D178,7),6,1)*5),11),1))=VALUE(RIGHT(D178,1)),"","오류")),"")</f>
        <v/>
      </c>
      <c r="C178" s="116"/>
      <c r="D178" s="143"/>
      <c r="E178" s="116"/>
      <c r="F178" s="116"/>
      <c r="G178" s="144"/>
      <c r="H178" s="112"/>
      <c r="I178" s="38"/>
      <c r="J178" s="39"/>
      <c r="K178" s="39"/>
      <c r="L178" s="39"/>
      <c r="M178" s="39"/>
      <c r="N178" s="39"/>
      <c r="O178" s="39"/>
      <c r="P178" s="39"/>
      <c r="Q178" s="39"/>
      <c r="R178" s="39"/>
      <c r="S178" s="40"/>
      <c r="T178" s="40"/>
      <c r="U178" s="39"/>
      <c r="V178" s="39"/>
      <c r="W178" s="41"/>
      <c r="X178" s="42"/>
      <c r="Y178" s="145">
        <f>SUM(I178:X179)</f>
        <v>0</v>
      </c>
      <c r="Z178" s="116">
        <f>COUNTIF(I178:X179,"&gt;0")</f>
        <v>0</v>
      </c>
      <c r="AA178" s="112">
        <f t="shared" ref="AA178" si="3450">H178*Y178</f>
        <v>0</v>
      </c>
      <c r="AB178" s="62">
        <f t="shared" ref="AB178" si="3451">IF(AO178&lt;1000, 0, AO178)</f>
        <v>0</v>
      </c>
      <c r="AC178" s="63">
        <f ca="1">IF(IFERROR($AN178&lt;65,FALSE), IF(B178&lt;&gt;"외국인", ROUNDDOWN(AA178*$AH$1%,-1), IF(AND(AM178&lt;&gt;"", ISNUMBER(SEARCH(LEFT(SUBSTITUTE(AM178, "-",""),2), "F2_F5_F6"))), ROUNDDOWN(AA178*$AH$1%,-1), 0)),0)</f>
        <v>0</v>
      </c>
      <c r="AD178" s="64">
        <f t="shared" ref="AD178" si="3452">IF(Z178&gt;=$AJ$1,ROUNDDOWN(AA178*$AH$2%,-1),0)</f>
        <v>0</v>
      </c>
      <c r="AE178" s="112">
        <f t="shared" ref="AE178" ca="1" si="3453">AB178+AC178+AB179+AC179+AD178+AD179</f>
        <v>0</v>
      </c>
      <c r="AF178" s="112">
        <f t="shared" ref="AF178" ca="1" si="3454">AA178-AE178</f>
        <v>0</v>
      </c>
      <c r="AG178" s="116"/>
      <c r="AH178" s="116"/>
      <c r="AI178" s="116"/>
      <c r="AJ178" s="116"/>
      <c r="AK178" s="149"/>
      <c r="AL178" s="149"/>
      <c r="AM178" s="115"/>
      <c r="AN178" s="113" t="str">
        <f t="shared" ref="AN178" ca="1" si="3455">IFERROR(DATEDIF(DATE(IF(ISNUMBER(FIND(MID( SUBSTITUTE(D178, "-",""), 7, 1), "3478")), 2000, 1900)+MID(D178,1,2), MID(D178,3,2), MID(D178,5,2)), TODAY(), "Y"),"")</f>
        <v/>
      </c>
      <c r="AO178" s="112">
        <f>ROUNDDOWN(SUM(AP178:BE179),-1)</f>
        <v>0</v>
      </c>
      <c r="AP178" s="11">
        <f t="shared" ref="AP178" si="3456">IF($H178*I178&gt;150000,ROUNDDOWN(($H178*I178-150000)*6%*45%,0),0)</f>
        <v>0</v>
      </c>
      <c r="AQ178" s="12">
        <f t="shared" ref="AQ178" si="3457">IF($H178*J178&gt;150000,ROUNDDOWN(($H178*J178-150000)*6%*45%,0),0)</f>
        <v>0</v>
      </c>
      <c r="AR178" s="12">
        <f t="shared" ref="AR178" si="3458">IF($H178*K178&gt;150000,ROUNDDOWN(($H178*K178-150000)*6%*45%,0),0)</f>
        <v>0</v>
      </c>
      <c r="AS178" s="12">
        <f t="shared" ref="AS178" si="3459">IF($H178*L178&gt;150000,ROUNDDOWN(($H178*L178-150000)*6%*45%,0),0)</f>
        <v>0</v>
      </c>
      <c r="AT178" s="12">
        <f t="shared" ref="AT178" si="3460">IF($H178*M178&gt;150000,ROUNDDOWN(($H178*M178-150000)*6%*45%,0),0)</f>
        <v>0</v>
      </c>
      <c r="AU178" s="12">
        <f t="shared" ref="AU178" si="3461">IF($H178*N178&gt;150000,ROUNDDOWN(($H178*N178-150000)*6%*45%,0),0)</f>
        <v>0</v>
      </c>
      <c r="AV178" s="12">
        <f t="shared" ref="AV178" si="3462">IF($H178*O178&gt;150000,ROUNDDOWN(($H178*O178-150000)*6%*45%,0),0)</f>
        <v>0</v>
      </c>
      <c r="AW178" s="12">
        <f t="shared" ref="AW178" si="3463">IF($H178*P178&gt;150000,ROUNDDOWN(($H178*P178-150000)*6%*45%,0),0)</f>
        <v>0</v>
      </c>
      <c r="AX178" s="12">
        <f t="shared" ref="AX178" si="3464">IF($H178*Q178&gt;150000,ROUNDDOWN(($H178*Q178-150000)*6%*45%,0),0)</f>
        <v>0</v>
      </c>
      <c r="AY178" s="12">
        <f t="shared" ref="AY178" si="3465">IF($H178*R178&gt;150000,ROUNDDOWN(($H178*R178-150000)*6%*45%,0),0)</f>
        <v>0</v>
      </c>
      <c r="AZ178" s="12">
        <f t="shared" ref="AZ178" si="3466">IF($H178*S178&gt;150000,ROUNDDOWN(($H178*S178-150000)*6%*45%,0),0)</f>
        <v>0</v>
      </c>
      <c r="BA178" s="12">
        <f t="shared" ref="BA178" si="3467">IF($H178*T178&gt;150000,ROUNDDOWN(($H178*T178-150000)*6%*45%,0),0)</f>
        <v>0</v>
      </c>
      <c r="BB178" s="12">
        <f t="shared" ref="BB178" si="3468">IF($H178*U178&gt;150000,ROUNDDOWN(($H178*U178-150000)*6%*45%,0),0)</f>
        <v>0</v>
      </c>
      <c r="BC178" s="12">
        <f t="shared" ref="BC178" si="3469">IF($H178*V178&gt;150000,ROUNDDOWN(($H178*V178-150000)*6%*45%,0),0)</f>
        <v>0</v>
      </c>
      <c r="BD178" s="13">
        <f t="shared" ref="BD178" si="3470">IF($H178*W178&gt;150000,ROUNDDOWN(($H178*W178-150000)*6%*45%,0),0)</f>
        <v>0</v>
      </c>
      <c r="BE178" s="14"/>
    </row>
    <row r="179" spans="1:58" x14ac:dyDescent="0.3">
      <c r="A179" s="142"/>
      <c r="B179" s="116"/>
      <c r="C179" s="116"/>
      <c r="D179" s="143"/>
      <c r="E179" s="116"/>
      <c r="F179" s="116"/>
      <c r="G179" s="144"/>
      <c r="H179" s="112"/>
      <c r="I179" s="43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5"/>
      <c r="Y179" s="145"/>
      <c r="Z179" s="116"/>
      <c r="AA179" s="112"/>
      <c r="AB179" s="65">
        <f t="shared" ref="AB179" si="3471">ROUNDDOWN(AB178*10%,-1)</f>
        <v>0</v>
      </c>
      <c r="AC179" s="66">
        <f t="shared" ref="AC179" ca="1" si="3472">IFERROR(IF(AND( OR(COUNTIF(I178:X179, "&gt;0")&gt;=$AJ$1, AA178&gt;=$AJ$4),AN178&lt;60,AA178&lt;=$AH$5),ROUNDDOWN(ROUNDDOWN(AA178,-3)*$AH$4%,-1),IF(AND(COUNTIF(I178:X179,"&gt;0")&gt;=$AJ$1,AN178&lt;60,AA178&gt;$AH$5),$AJ$5,0)),0)</f>
        <v>0</v>
      </c>
      <c r="AD179" s="67">
        <f t="shared" ref="AD179" si="3473">IF(Z178&gt;=$AJ$1,ROUNDDOWN(AD178*$AH$3%/($AH$2*2%),-1),0)</f>
        <v>0</v>
      </c>
      <c r="AE179" s="112"/>
      <c r="AF179" s="112"/>
      <c r="AG179" s="116"/>
      <c r="AH179" s="116"/>
      <c r="AI179" s="116"/>
      <c r="AJ179" s="116"/>
      <c r="AK179" s="149"/>
      <c r="AL179" s="149"/>
      <c r="AM179" s="115"/>
      <c r="AN179" s="113"/>
      <c r="AO179" s="112"/>
      <c r="AP179" s="15">
        <f t="shared" ref="AP179" si="3474">IF($H178*I179&gt;150000,ROUNDDOWN(($H178*I179-150000)*6%*45%,0),0)</f>
        <v>0</v>
      </c>
      <c r="AQ179" s="16">
        <f t="shared" ref="AQ179" si="3475">IF($H178*J179&gt;150000,ROUNDDOWN(($H178*J179-150000)*6%*45%,0),0)</f>
        <v>0</v>
      </c>
      <c r="AR179" s="16">
        <f t="shared" ref="AR179" si="3476">IF($H178*K179&gt;150000,ROUNDDOWN(($H178*K179-150000)*6%*45%,0),0)</f>
        <v>0</v>
      </c>
      <c r="AS179" s="16">
        <f t="shared" ref="AS179" si="3477">IF($H178*L179&gt;150000,ROUNDDOWN(($H178*L179-150000)*6%*45%,0),0)</f>
        <v>0</v>
      </c>
      <c r="AT179" s="16">
        <f t="shared" ref="AT179" si="3478">IF($H178*M179&gt;150000,ROUNDDOWN(($H178*M179-150000)*6%*45%,0),0)</f>
        <v>0</v>
      </c>
      <c r="AU179" s="16">
        <f t="shared" ref="AU179" si="3479">IF($H178*N179&gt;150000,ROUNDDOWN(($H178*N179-150000)*6%*45%,0),0)</f>
        <v>0</v>
      </c>
      <c r="AV179" s="16">
        <f t="shared" ref="AV179" si="3480">IF($H178*O179&gt;150000,ROUNDDOWN(($H178*O179-150000)*6%*45%,0),0)</f>
        <v>0</v>
      </c>
      <c r="AW179" s="16">
        <f t="shared" ref="AW179" si="3481">IF($H178*P179&gt;150000,ROUNDDOWN(($H178*P179-150000)*6%*45%,0),0)</f>
        <v>0</v>
      </c>
      <c r="AX179" s="16">
        <f t="shared" ref="AX179" si="3482">IF($H178*Q179&gt;150000,ROUNDDOWN(($H178*Q179-150000)*6%*45%,0),0)</f>
        <v>0</v>
      </c>
      <c r="AY179" s="16">
        <f t="shared" ref="AY179" si="3483">IF($H178*R179&gt;150000,ROUNDDOWN(($H178*R179-150000)*6%*45%,0),0)</f>
        <v>0</v>
      </c>
      <c r="AZ179" s="16">
        <f t="shared" ref="AZ179" si="3484">IF($H178*S179&gt;150000,ROUNDDOWN(($H178*S179-150000)*6%*45%,0),0)</f>
        <v>0</v>
      </c>
      <c r="BA179" s="16">
        <f t="shared" ref="BA179" si="3485">IF($H178*T179&gt;150000,ROUNDDOWN(($H178*T179-150000)*6%*45%,0),0)</f>
        <v>0</v>
      </c>
      <c r="BB179" s="16">
        <f t="shared" ref="BB179" si="3486">IF($H178*U179&gt;150000,ROUNDDOWN(($H178*U179-150000)*6%*45%,0),0)</f>
        <v>0</v>
      </c>
      <c r="BC179" s="16">
        <f t="shared" ref="BC179" si="3487">IF($H178*V179&gt;150000,ROUNDDOWN(($H178*V179-150000)*6%*45%,0),0)</f>
        <v>0</v>
      </c>
      <c r="BD179" s="16">
        <f t="shared" ref="BD179" si="3488">IF($H178*W179&gt;150000,ROUNDDOWN(($H178*W179-150000)*6%*45%,0),0)</f>
        <v>0</v>
      </c>
      <c r="BE179" s="17">
        <f t="shared" ref="BE179" si="3489">IF($H178*X179&gt;150000,ROUNDDOWN(($H178*X179-150000)*6%*45%,0),0)</f>
        <v>0</v>
      </c>
      <c r="BF179" s="28"/>
    </row>
    <row r="180" spans="1:58" x14ac:dyDescent="0.3">
      <c r="A180" s="142">
        <v>87</v>
      </c>
      <c r="B180" s="116" t="str">
        <f t="shared" ref="B180" si="3490">IF(LEN(D180)&gt;1,IF(VALUE(MID(RIGHT(D180,7),1,1))&gt;4,"외국인",IF(VALUE(RIGHT(11-MOD((MID(D180,1,1)*2+MID(D180,2,1)*3+MID(D180,3,1)*4+MID(D180,4,1)*5+MID(D180,5,1)*6+MID(D180,6,1)*7+MID(RIGHT(D180,7),1,1)*8+MID(RIGHT(D180,7),2,1)*9+MID(RIGHT(D180,7),3,1)*2+MID(RIGHT(D180,7),4,1)*3+MID(RIGHT(D180,7),5,1)*4+MID(RIGHT(D180,7),6,1)*5),11),1))=VALUE(RIGHT(D180,1)),"","오류")),"")</f>
        <v/>
      </c>
      <c r="C180" s="116"/>
      <c r="D180" s="143"/>
      <c r="E180" s="116"/>
      <c r="F180" s="116"/>
      <c r="G180" s="144"/>
      <c r="H180" s="112"/>
      <c r="I180" s="38"/>
      <c r="J180" s="39"/>
      <c r="K180" s="39"/>
      <c r="L180" s="39"/>
      <c r="M180" s="39"/>
      <c r="N180" s="39"/>
      <c r="O180" s="39"/>
      <c r="P180" s="39"/>
      <c r="Q180" s="39"/>
      <c r="R180" s="39"/>
      <c r="S180" s="40"/>
      <c r="T180" s="40"/>
      <c r="U180" s="39"/>
      <c r="V180" s="39"/>
      <c r="W180" s="41"/>
      <c r="X180" s="42"/>
      <c r="Y180" s="145">
        <f>SUM(I180:X181)</f>
        <v>0</v>
      </c>
      <c r="Z180" s="116">
        <f>COUNTIF(I180:X181,"&gt;0")</f>
        <v>0</v>
      </c>
      <c r="AA180" s="112">
        <f t="shared" ref="AA180" si="3491">H180*Y180</f>
        <v>0</v>
      </c>
      <c r="AB180" s="62">
        <f t="shared" ref="AB180" si="3492">IF(AO180&lt;1000, 0, AO180)</f>
        <v>0</v>
      </c>
      <c r="AC180" s="63">
        <f ca="1">IF(IFERROR($AN180&lt;65,FALSE), IF(B180&lt;&gt;"외국인", ROUNDDOWN(AA180*$AH$1%,-1), IF(AND(AM180&lt;&gt;"", ISNUMBER(SEARCH(LEFT(SUBSTITUTE(AM180, "-",""),2), "F2_F5_F6"))), ROUNDDOWN(AA180*$AH$1%,-1), 0)),0)</f>
        <v>0</v>
      </c>
      <c r="AD180" s="64">
        <f t="shared" ref="AD180" si="3493">IF(Z180&gt;=$AJ$1,ROUNDDOWN(AA180*$AH$2%,-1),0)</f>
        <v>0</v>
      </c>
      <c r="AE180" s="112">
        <f t="shared" ref="AE180" ca="1" si="3494">AB180+AC180+AB181+AC181+AD180+AD181</f>
        <v>0</v>
      </c>
      <c r="AF180" s="112">
        <f t="shared" ref="AF180" ca="1" si="3495">AA180-AE180</f>
        <v>0</v>
      </c>
      <c r="AG180" s="116"/>
      <c r="AH180" s="116"/>
      <c r="AI180" s="116"/>
      <c r="AJ180" s="116"/>
      <c r="AK180" s="149"/>
      <c r="AL180" s="149"/>
      <c r="AM180" s="115"/>
      <c r="AN180" s="113" t="str">
        <f t="shared" ref="AN180" ca="1" si="3496">IFERROR(DATEDIF(DATE(IF(ISNUMBER(FIND(MID( SUBSTITUTE(D180, "-",""), 7, 1), "3478")), 2000, 1900)+MID(D180,1,2), MID(D180,3,2), MID(D180,5,2)), TODAY(), "Y"),"")</f>
        <v/>
      </c>
      <c r="AO180" s="112">
        <f>ROUNDDOWN(SUM(AP180:BE181),-1)</f>
        <v>0</v>
      </c>
      <c r="AP180" s="11">
        <f t="shared" ref="AP180" si="3497">IF($H180*I180&gt;150000,ROUNDDOWN(($H180*I180-150000)*6%*45%,0),0)</f>
        <v>0</v>
      </c>
      <c r="AQ180" s="12">
        <f t="shared" ref="AQ180" si="3498">IF($H180*J180&gt;150000,ROUNDDOWN(($H180*J180-150000)*6%*45%,0),0)</f>
        <v>0</v>
      </c>
      <c r="AR180" s="12">
        <f t="shared" ref="AR180" si="3499">IF($H180*K180&gt;150000,ROUNDDOWN(($H180*K180-150000)*6%*45%,0),0)</f>
        <v>0</v>
      </c>
      <c r="AS180" s="12">
        <f t="shared" ref="AS180" si="3500">IF($H180*L180&gt;150000,ROUNDDOWN(($H180*L180-150000)*6%*45%,0),0)</f>
        <v>0</v>
      </c>
      <c r="AT180" s="12">
        <f t="shared" ref="AT180" si="3501">IF($H180*M180&gt;150000,ROUNDDOWN(($H180*M180-150000)*6%*45%,0),0)</f>
        <v>0</v>
      </c>
      <c r="AU180" s="12">
        <f t="shared" ref="AU180" si="3502">IF($H180*N180&gt;150000,ROUNDDOWN(($H180*N180-150000)*6%*45%,0),0)</f>
        <v>0</v>
      </c>
      <c r="AV180" s="12">
        <f t="shared" ref="AV180" si="3503">IF($H180*O180&gt;150000,ROUNDDOWN(($H180*O180-150000)*6%*45%,0),0)</f>
        <v>0</v>
      </c>
      <c r="AW180" s="12">
        <f t="shared" ref="AW180" si="3504">IF($H180*P180&gt;150000,ROUNDDOWN(($H180*P180-150000)*6%*45%,0),0)</f>
        <v>0</v>
      </c>
      <c r="AX180" s="12">
        <f t="shared" ref="AX180" si="3505">IF($H180*Q180&gt;150000,ROUNDDOWN(($H180*Q180-150000)*6%*45%,0),0)</f>
        <v>0</v>
      </c>
      <c r="AY180" s="12">
        <f t="shared" ref="AY180" si="3506">IF($H180*R180&gt;150000,ROUNDDOWN(($H180*R180-150000)*6%*45%,0),0)</f>
        <v>0</v>
      </c>
      <c r="AZ180" s="12">
        <f t="shared" ref="AZ180" si="3507">IF($H180*S180&gt;150000,ROUNDDOWN(($H180*S180-150000)*6%*45%,0),0)</f>
        <v>0</v>
      </c>
      <c r="BA180" s="12">
        <f t="shared" ref="BA180" si="3508">IF($H180*T180&gt;150000,ROUNDDOWN(($H180*T180-150000)*6%*45%,0),0)</f>
        <v>0</v>
      </c>
      <c r="BB180" s="12">
        <f t="shared" ref="BB180" si="3509">IF($H180*U180&gt;150000,ROUNDDOWN(($H180*U180-150000)*6%*45%,0),0)</f>
        <v>0</v>
      </c>
      <c r="BC180" s="12">
        <f t="shared" ref="BC180" si="3510">IF($H180*V180&gt;150000,ROUNDDOWN(($H180*V180-150000)*6%*45%,0),0)</f>
        <v>0</v>
      </c>
      <c r="BD180" s="13">
        <f t="shared" ref="BD180" si="3511">IF($H180*W180&gt;150000,ROUNDDOWN(($H180*W180-150000)*6%*45%,0),0)</f>
        <v>0</v>
      </c>
      <c r="BE180" s="14"/>
    </row>
    <row r="181" spans="1:58" x14ac:dyDescent="0.3">
      <c r="A181" s="142"/>
      <c r="B181" s="116"/>
      <c r="C181" s="116"/>
      <c r="D181" s="143"/>
      <c r="E181" s="116"/>
      <c r="F181" s="116"/>
      <c r="G181" s="144"/>
      <c r="H181" s="112"/>
      <c r="I181" s="43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5"/>
      <c r="Y181" s="145"/>
      <c r="Z181" s="116"/>
      <c r="AA181" s="112"/>
      <c r="AB181" s="65">
        <f t="shared" ref="AB181" si="3512">ROUNDDOWN(AB180*10%,-1)</f>
        <v>0</v>
      </c>
      <c r="AC181" s="66">
        <f t="shared" ref="AC181" ca="1" si="3513">IFERROR(IF(AND( OR(COUNTIF(I180:X181, "&gt;0")&gt;=$AJ$1, AA180&gt;=$AJ$4),AN180&lt;60,AA180&lt;=$AH$5),ROUNDDOWN(ROUNDDOWN(AA180,-3)*$AH$4%,-1),IF(AND(COUNTIF(I180:X181,"&gt;0")&gt;=$AJ$1,AN180&lt;60,AA180&gt;$AH$5),$AJ$5,0)),0)</f>
        <v>0</v>
      </c>
      <c r="AD181" s="67">
        <f t="shared" ref="AD181" si="3514">IF(Z180&gt;=$AJ$1,ROUNDDOWN(AD180*$AH$3%/($AH$2*2%),-1),0)</f>
        <v>0</v>
      </c>
      <c r="AE181" s="112"/>
      <c r="AF181" s="112"/>
      <c r="AG181" s="116"/>
      <c r="AH181" s="116"/>
      <c r="AI181" s="116"/>
      <c r="AJ181" s="116"/>
      <c r="AK181" s="149"/>
      <c r="AL181" s="149"/>
      <c r="AM181" s="115"/>
      <c r="AN181" s="113"/>
      <c r="AO181" s="112"/>
      <c r="AP181" s="15">
        <f t="shared" ref="AP181" si="3515">IF($H180*I181&gt;150000,ROUNDDOWN(($H180*I181-150000)*6%*45%,0),0)</f>
        <v>0</v>
      </c>
      <c r="AQ181" s="16">
        <f t="shared" ref="AQ181" si="3516">IF($H180*J181&gt;150000,ROUNDDOWN(($H180*J181-150000)*6%*45%,0),0)</f>
        <v>0</v>
      </c>
      <c r="AR181" s="16">
        <f t="shared" ref="AR181" si="3517">IF($H180*K181&gt;150000,ROUNDDOWN(($H180*K181-150000)*6%*45%,0),0)</f>
        <v>0</v>
      </c>
      <c r="AS181" s="16">
        <f t="shared" ref="AS181" si="3518">IF($H180*L181&gt;150000,ROUNDDOWN(($H180*L181-150000)*6%*45%,0),0)</f>
        <v>0</v>
      </c>
      <c r="AT181" s="16">
        <f t="shared" ref="AT181" si="3519">IF($H180*M181&gt;150000,ROUNDDOWN(($H180*M181-150000)*6%*45%,0),0)</f>
        <v>0</v>
      </c>
      <c r="AU181" s="16">
        <f t="shared" ref="AU181" si="3520">IF($H180*N181&gt;150000,ROUNDDOWN(($H180*N181-150000)*6%*45%,0),0)</f>
        <v>0</v>
      </c>
      <c r="AV181" s="16">
        <f t="shared" ref="AV181" si="3521">IF($H180*O181&gt;150000,ROUNDDOWN(($H180*O181-150000)*6%*45%,0),0)</f>
        <v>0</v>
      </c>
      <c r="AW181" s="16">
        <f t="shared" ref="AW181" si="3522">IF($H180*P181&gt;150000,ROUNDDOWN(($H180*P181-150000)*6%*45%,0),0)</f>
        <v>0</v>
      </c>
      <c r="AX181" s="16">
        <f t="shared" ref="AX181" si="3523">IF($H180*Q181&gt;150000,ROUNDDOWN(($H180*Q181-150000)*6%*45%,0),0)</f>
        <v>0</v>
      </c>
      <c r="AY181" s="16">
        <f t="shared" ref="AY181" si="3524">IF($H180*R181&gt;150000,ROUNDDOWN(($H180*R181-150000)*6%*45%,0),0)</f>
        <v>0</v>
      </c>
      <c r="AZ181" s="16">
        <f t="shared" ref="AZ181" si="3525">IF($H180*S181&gt;150000,ROUNDDOWN(($H180*S181-150000)*6%*45%,0),0)</f>
        <v>0</v>
      </c>
      <c r="BA181" s="16">
        <f t="shared" ref="BA181" si="3526">IF($H180*T181&gt;150000,ROUNDDOWN(($H180*T181-150000)*6%*45%,0),0)</f>
        <v>0</v>
      </c>
      <c r="BB181" s="16">
        <f t="shared" ref="BB181" si="3527">IF($H180*U181&gt;150000,ROUNDDOWN(($H180*U181-150000)*6%*45%,0),0)</f>
        <v>0</v>
      </c>
      <c r="BC181" s="16">
        <f t="shared" ref="BC181" si="3528">IF($H180*V181&gt;150000,ROUNDDOWN(($H180*V181-150000)*6%*45%,0),0)</f>
        <v>0</v>
      </c>
      <c r="BD181" s="16">
        <f t="shared" ref="BD181" si="3529">IF($H180*W181&gt;150000,ROUNDDOWN(($H180*W181-150000)*6%*45%,0),0)</f>
        <v>0</v>
      </c>
      <c r="BE181" s="17">
        <f t="shared" ref="BE181" si="3530">IF($H180*X181&gt;150000,ROUNDDOWN(($H180*X181-150000)*6%*45%,0),0)</f>
        <v>0</v>
      </c>
      <c r="BF181" s="28"/>
    </row>
    <row r="182" spans="1:58" x14ac:dyDescent="0.3">
      <c r="A182" s="142">
        <v>88</v>
      </c>
      <c r="B182" s="116" t="str">
        <f t="shared" ref="B182" si="3531">IF(LEN(D182)&gt;1,IF(VALUE(MID(RIGHT(D182,7),1,1))&gt;4,"외국인",IF(VALUE(RIGHT(11-MOD((MID(D182,1,1)*2+MID(D182,2,1)*3+MID(D182,3,1)*4+MID(D182,4,1)*5+MID(D182,5,1)*6+MID(D182,6,1)*7+MID(RIGHT(D182,7),1,1)*8+MID(RIGHT(D182,7),2,1)*9+MID(RIGHT(D182,7),3,1)*2+MID(RIGHT(D182,7),4,1)*3+MID(RIGHT(D182,7),5,1)*4+MID(RIGHT(D182,7),6,1)*5),11),1))=VALUE(RIGHT(D182,1)),"","오류")),"")</f>
        <v/>
      </c>
      <c r="C182" s="116"/>
      <c r="D182" s="143"/>
      <c r="E182" s="116"/>
      <c r="F182" s="116"/>
      <c r="G182" s="144"/>
      <c r="H182" s="112"/>
      <c r="I182" s="38"/>
      <c r="J182" s="39"/>
      <c r="K182" s="39"/>
      <c r="L182" s="39"/>
      <c r="M182" s="39"/>
      <c r="N182" s="39"/>
      <c r="O182" s="39"/>
      <c r="P182" s="39"/>
      <c r="Q182" s="39"/>
      <c r="R182" s="39"/>
      <c r="S182" s="40"/>
      <c r="T182" s="40"/>
      <c r="U182" s="39"/>
      <c r="V182" s="39"/>
      <c r="W182" s="41"/>
      <c r="X182" s="42"/>
      <c r="Y182" s="145">
        <f>SUM(I182:X183)</f>
        <v>0</v>
      </c>
      <c r="Z182" s="116">
        <f>COUNTIF(I182:X183,"&gt;0")</f>
        <v>0</v>
      </c>
      <c r="AA182" s="112">
        <f t="shared" ref="AA182" si="3532">H182*Y182</f>
        <v>0</v>
      </c>
      <c r="AB182" s="62">
        <f t="shared" ref="AB182" si="3533">IF(AO182&lt;1000, 0, AO182)</f>
        <v>0</v>
      </c>
      <c r="AC182" s="63">
        <f ca="1">IF(IFERROR($AN182&lt;65,FALSE), IF(B182&lt;&gt;"외국인", ROUNDDOWN(AA182*$AH$1%,-1), IF(AND(AM182&lt;&gt;"", ISNUMBER(SEARCH(LEFT(SUBSTITUTE(AM182, "-",""),2), "F2_F5_F6"))), ROUNDDOWN(AA182*$AH$1%,-1), 0)),0)</f>
        <v>0</v>
      </c>
      <c r="AD182" s="64">
        <f t="shared" ref="AD182" si="3534">IF(Z182&gt;=$AJ$1,ROUNDDOWN(AA182*$AH$2%,-1),0)</f>
        <v>0</v>
      </c>
      <c r="AE182" s="112">
        <f t="shared" ref="AE182" ca="1" si="3535">AB182+AC182+AB183+AC183+AD182+AD183</f>
        <v>0</v>
      </c>
      <c r="AF182" s="112">
        <f t="shared" ref="AF182" ca="1" si="3536">AA182-AE182</f>
        <v>0</v>
      </c>
      <c r="AG182" s="116"/>
      <c r="AH182" s="116"/>
      <c r="AI182" s="116"/>
      <c r="AJ182" s="116"/>
      <c r="AK182" s="149"/>
      <c r="AL182" s="149"/>
      <c r="AM182" s="115"/>
      <c r="AN182" s="113" t="str">
        <f t="shared" ref="AN182" ca="1" si="3537">IFERROR(DATEDIF(DATE(IF(ISNUMBER(FIND(MID( SUBSTITUTE(D182, "-",""), 7, 1), "3478")), 2000, 1900)+MID(D182,1,2), MID(D182,3,2), MID(D182,5,2)), TODAY(), "Y"),"")</f>
        <v/>
      </c>
      <c r="AO182" s="112">
        <f>ROUNDDOWN(SUM(AP182:BE183),-1)</f>
        <v>0</v>
      </c>
      <c r="AP182" s="11">
        <f t="shared" ref="AP182" si="3538">IF($H182*I182&gt;150000,ROUNDDOWN(($H182*I182-150000)*6%*45%,0),0)</f>
        <v>0</v>
      </c>
      <c r="AQ182" s="12">
        <f t="shared" ref="AQ182" si="3539">IF($H182*J182&gt;150000,ROUNDDOWN(($H182*J182-150000)*6%*45%,0),0)</f>
        <v>0</v>
      </c>
      <c r="AR182" s="12">
        <f t="shared" ref="AR182" si="3540">IF($H182*K182&gt;150000,ROUNDDOWN(($H182*K182-150000)*6%*45%,0),0)</f>
        <v>0</v>
      </c>
      <c r="AS182" s="12">
        <f t="shared" ref="AS182" si="3541">IF($H182*L182&gt;150000,ROUNDDOWN(($H182*L182-150000)*6%*45%,0),0)</f>
        <v>0</v>
      </c>
      <c r="AT182" s="12">
        <f t="shared" ref="AT182" si="3542">IF($H182*M182&gt;150000,ROUNDDOWN(($H182*M182-150000)*6%*45%,0),0)</f>
        <v>0</v>
      </c>
      <c r="AU182" s="12">
        <f t="shared" ref="AU182" si="3543">IF($H182*N182&gt;150000,ROUNDDOWN(($H182*N182-150000)*6%*45%,0),0)</f>
        <v>0</v>
      </c>
      <c r="AV182" s="12">
        <f t="shared" ref="AV182" si="3544">IF($H182*O182&gt;150000,ROUNDDOWN(($H182*O182-150000)*6%*45%,0),0)</f>
        <v>0</v>
      </c>
      <c r="AW182" s="12">
        <f t="shared" ref="AW182" si="3545">IF($H182*P182&gt;150000,ROUNDDOWN(($H182*P182-150000)*6%*45%,0),0)</f>
        <v>0</v>
      </c>
      <c r="AX182" s="12">
        <f t="shared" ref="AX182" si="3546">IF($H182*Q182&gt;150000,ROUNDDOWN(($H182*Q182-150000)*6%*45%,0),0)</f>
        <v>0</v>
      </c>
      <c r="AY182" s="12">
        <f t="shared" ref="AY182" si="3547">IF($H182*R182&gt;150000,ROUNDDOWN(($H182*R182-150000)*6%*45%,0),0)</f>
        <v>0</v>
      </c>
      <c r="AZ182" s="12">
        <f t="shared" ref="AZ182" si="3548">IF($H182*S182&gt;150000,ROUNDDOWN(($H182*S182-150000)*6%*45%,0),0)</f>
        <v>0</v>
      </c>
      <c r="BA182" s="12">
        <f t="shared" ref="BA182" si="3549">IF($H182*T182&gt;150000,ROUNDDOWN(($H182*T182-150000)*6%*45%,0),0)</f>
        <v>0</v>
      </c>
      <c r="BB182" s="12">
        <f t="shared" ref="BB182" si="3550">IF($H182*U182&gt;150000,ROUNDDOWN(($H182*U182-150000)*6%*45%,0),0)</f>
        <v>0</v>
      </c>
      <c r="BC182" s="12">
        <f t="shared" ref="BC182" si="3551">IF($H182*V182&gt;150000,ROUNDDOWN(($H182*V182-150000)*6%*45%,0),0)</f>
        <v>0</v>
      </c>
      <c r="BD182" s="13">
        <f t="shared" ref="BD182" si="3552">IF($H182*W182&gt;150000,ROUNDDOWN(($H182*W182-150000)*6%*45%,0),0)</f>
        <v>0</v>
      </c>
      <c r="BE182" s="14"/>
    </row>
    <row r="183" spans="1:58" x14ac:dyDescent="0.3">
      <c r="A183" s="142"/>
      <c r="B183" s="116"/>
      <c r="C183" s="116"/>
      <c r="D183" s="143"/>
      <c r="E183" s="116"/>
      <c r="F183" s="116"/>
      <c r="G183" s="144"/>
      <c r="H183" s="112"/>
      <c r="I183" s="43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5"/>
      <c r="Y183" s="145"/>
      <c r="Z183" s="116"/>
      <c r="AA183" s="112"/>
      <c r="AB183" s="65">
        <f t="shared" ref="AB183" si="3553">ROUNDDOWN(AB182*10%,-1)</f>
        <v>0</v>
      </c>
      <c r="AC183" s="66">
        <f t="shared" ref="AC183" ca="1" si="3554">IFERROR(IF(AND( OR(COUNTIF(I182:X183, "&gt;0")&gt;=$AJ$1, AA182&gt;=$AJ$4),AN182&lt;60,AA182&lt;=$AH$5),ROUNDDOWN(ROUNDDOWN(AA182,-3)*$AH$4%,-1),IF(AND(COUNTIF(I182:X183,"&gt;0")&gt;=$AJ$1,AN182&lt;60,AA182&gt;$AH$5),$AJ$5,0)),0)</f>
        <v>0</v>
      </c>
      <c r="AD183" s="67">
        <f t="shared" ref="AD183" si="3555">IF(Z182&gt;=$AJ$1,ROUNDDOWN(AD182*$AH$3%/($AH$2*2%),-1),0)</f>
        <v>0</v>
      </c>
      <c r="AE183" s="112"/>
      <c r="AF183" s="112"/>
      <c r="AG183" s="116"/>
      <c r="AH183" s="116"/>
      <c r="AI183" s="116"/>
      <c r="AJ183" s="116"/>
      <c r="AK183" s="149"/>
      <c r="AL183" s="149"/>
      <c r="AM183" s="115"/>
      <c r="AN183" s="113"/>
      <c r="AO183" s="112"/>
      <c r="AP183" s="15">
        <f t="shared" ref="AP183" si="3556">IF($H182*I183&gt;150000,ROUNDDOWN(($H182*I183-150000)*6%*45%,0),0)</f>
        <v>0</v>
      </c>
      <c r="AQ183" s="16">
        <f t="shared" ref="AQ183" si="3557">IF($H182*J183&gt;150000,ROUNDDOWN(($H182*J183-150000)*6%*45%,0),0)</f>
        <v>0</v>
      </c>
      <c r="AR183" s="16">
        <f t="shared" ref="AR183" si="3558">IF($H182*K183&gt;150000,ROUNDDOWN(($H182*K183-150000)*6%*45%,0),0)</f>
        <v>0</v>
      </c>
      <c r="AS183" s="16">
        <f t="shared" ref="AS183" si="3559">IF($H182*L183&gt;150000,ROUNDDOWN(($H182*L183-150000)*6%*45%,0),0)</f>
        <v>0</v>
      </c>
      <c r="AT183" s="16">
        <f t="shared" ref="AT183" si="3560">IF($H182*M183&gt;150000,ROUNDDOWN(($H182*M183-150000)*6%*45%,0),0)</f>
        <v>0</v>
      </c>
      <c r="AU183" s="16">
        <f t="shared" ref="AU183" si="3561">IF($H182*N183&gt;150000,ROUNDDOWN(($H182*N183-150000)*6%*45%,0),0)</f>
        <v>0</v>
      </c>
      <c r="AV183" s="16">
        <f t="shared" ref="AV183" si="3562">IF($H182*O183&gt;150000,ROUNDDOWN(($H182*O183-150000)*6%*45%,0),0)</f>
        <v>0</v>
      </c>
      <c r="AW183" s="16">
        <f t="shared" ref="AW183" si="3563">IF($H182*P183&gt;150000,ROUNDDOWN(($H182*P183-150000)*6%*45%,0),0)</f>
        <v>0</v>
      </c>
      <c r="AX183" s="16">
        <f t="shared" ref="AX183" si="3564">IF($H182*Q183&gt;150000,ROUNDDOWN(($H182*Q183-150000)*6%*45%,0),0)</f>
        <v>0</v>
      </c>
      <c r="AY183" s="16">
        <f t="shared" ref="AY183" si="3565">IF($H182*R183&gt;150000,ROUNDDOWN(($H182*R183-150000)*6%*45%,0),0)</f>
        <v>0</v>
      </c>
      <c r="AZ183" s="16">
        <f t="shared" ref="AZ183" si="3566">IF($H182*S183&gt;150000,ROUNDDOWN(($H182*S183-150000)*6%*45%,0),0)</f>
        <v>0</v>
      </c>
      <c r="BA183" s="16">
        <f t="shared" ref="BA183" si="3567">IF($H182*T183&gt;150000,ROUNDDOWN(($H182*T183-150000)*6%*45%,0),0)</f>
        <v>0</v>
      </c>
      <c r="BB183" s="16">
        <f t="shared" ref="BB183" si="3568">IF($H182*U183&gt;150000,ROUNDDOWN(($H182*U183-150000)*6%*45%,0),0)</f>
        <v>0</v>
      </c>
      <c r="BC183" s="16">
        <f t="shared" ref="BC183" si="3569">IF($H182*V183&gt;150000,ROUNDDOWN(($H182*V183-150000)*6%*45%,0),0)</f>
        <v>0</v>
      </c>
      <c r="BD183" s="16">
        <f t="shared" ref="BD183" si="3570">IF($H182*W183&gt;150000,ROUNDDOWN(($H182*W183-150000)*6%*45%,0),0)</f>
        <v>0</v>
      </c>
      <c r="BE183" s="17">
        <f t="shared" ref="BE183" si="3571">IF($H182*X183&gt;150000,ROUNDDOWN(($H182*X183-150000)*6%*45%,0),0)</f>
        <v>0</v>
      </c>
      <c r="BF183" s="28"/>
    </row>
    <row r="184" spans="1:58" x14ac:dyDescent="0.3">
      <c r="A184" s="142">
        <v>89</v>
      </c>
      <c r="B184" s="116" t="str">
        <f t="shared" ref="B184" si="3572">IF(LEN(D184)&gt;1,IF(VALUE(MID(RIGHT(D184,7),1,1))&gt;4,"외국인",IF(VALUE(RIGHT(11-MOD((MID(D184,1,1)*2+MID(D184,2,1)*3+MID(D184,3,1)*4+MID(D184,4,1)*5+MID(D184,5,1)*6+MID(D184,6,1)*7+MID(RIGHT(D184,7),1,1)*8+MID(RIGHT(D184,7),2,1)*9+MID(RIGHT(D184,7),3,1)*2+MID(RIGHT(D184,7),4,1)*3+MID(RIGHT(D184,7),5,1)*4+MID(RIGHT(D184,7),6,1)*5),11),1))=VALUE(RIGHT(D184,1)),"","오류")),"")</f>
        <v/>
      </c>
      <c r="C184" s="116"/>
      <c r="D184" s="143"/>
      <c r="E184" s="116"/>
      <c r="F184" s="116"/>
      <c r="G184" s="144"/>
      <c r="H184" s="112"/>
      <c r="I184" s="38"/>
      <c r="J184" s="39"/>
      <c r="K184" s="39"/>
      <c r="L184" s="39"/>
      <c r="M184" s="39"/>
      <c r="N184" s="39"/>
      <c r="O184" s="39"/>
      <c r="P184" s="39"/>
      <c r="Q184" s="39"/>
      <c r="R184" s="39"/>
      <c r="S184" s="40"/>
      <c r="T184" s="40"/>
      <c r="U184" s="39"/>
      <c r="V184" s="39"/>
      <c r="W184" s="41"/>
      <c r="X184" s="42"/>
      <c r="Y184" s="145">
        <f>SUM(I184:X185)</f>
        <v>0</v>
      </c>
      <c r="Z184" s="116">
        <f>COUNTIF(I184:X185,"&gt;0")</f>
        <v>0</v>
      </c>
      <c r="AA184" s="112">
        <f t="shared" ref="AA184" si="3573">H184*Y184</f>
        <v>0</v>
      </c>
      <c r="AB184" s="62">
        <f t="shared" ref="AB184" si="3574">IF(AO184&lt;1000, 0, AO184)</f>
        <v>0</v>
      </c>
      <c r="AC184" s="63">
        <f ca="1">IF(IFERROR($AN184&lt;65,FALSE), IF(B184&lt;&gt;"외국인", ROUNDDOWN(AA184*$AH$1%,-1), IF(AND(AM184&lt;&gt;"", ISNUMBER(SEARCH(LEFT(SUBSTITUTE(AM184, "-",""),2), "F2_F5_F6"))), ROUNDDOWN(AA184*$AH$1%,-1), 0)),0)</f>
        <v>0</v>
      </c>
      <c r="AD184" s="64">
        <f t="shared" ref="AD184" si="3575">IF(Z184&gt;=$AJ$1,ROUNDDOWN(AA184*$AH$2%,-1),0)</f>
        <v>0</v>
      </c>
      <c r="AE184" s="112">
        <f t="shared" ref="AE184" ca="1" si="3576">AB184+AC184+AB185+AC185+AD184+AD185</f>
        <v>0</v>
      </c>
      <c r="AF184" s="112">
        <f t="shared" ref="AF184" ca="1" si="3577">AA184-AE184</f>
        <v>0</v>
      </c>
      <c r="AG184" s="116"/>
      <c r="AH184" s="116"/>
      <c r="AI184" s="116"/>
      <c r="AJ184" s="116"/>
      <c r="AK184" s="149"/>
      <c r="AL184" s="149"/>
      <c r="AM184" s="115"/>
      <c r="AN184" s="113" t="str">
        <f t="shared" ref="AN184" ca="1" si="3578">IFERROR(DATEDIF(DATE(IF(ISNUMBER(FIND(MID( SUBSTITUTE(D184, "-",""), 7, 1), "3478")), 2000, 1900)+MID(D184,1,2), MID(D184,3,2), MID(D184,5,2)), TODAY(), "Y"),"")</f>
        <v/>
      </c>
      <c r="AO184" s="112">
        <f>ROUNDDOWN(SUM(AP184:BE185),-1)</f>
        <v>0</v>
      </c>
      <c r="AP184" s="11">
        <f t="shared" ref="AP184" si="3579">IF($H184*I184&gt;150000,ROUNDDOWN(($H184*I184-150000)*6%*45%,0),0)</f>
        <v>0</v>
      </c>
      <c r="AQ184" s="12">
        <f t="shared" ref="AQ184" si="3580">IF($H184*J184&gt;150000,ROUNDDOWN(($H184*J184-150000)*6%*45%,0),0)</f>
        <v>0</v>
      </c>
      <c r="AR184" s="12">
        <f t="shared" ref="AR184" si="3581">IF($H184*K184&gt;150000,ROUNDDOWN(($H184*K184-150000)*6%*45%,0),0)</f>
        <v>0</v>
      </c>
      <c r="AS184" s="12">
        <f t="shared" ref="AS184" si="3582">IF($H184*L184&gt;150000,ROUNDDOWN(($H184*L184-150000)*6%*45%,0),0)</f>
        <v>0</v>
      </c>
      <c r="AT184" s="12">
        <f t="shared" ref="AT184" si="3583">IF($H184*M184&gt;150000,ROUNDDOWN(($H184*M184-150000)*6%*45%,0),0)</f>
        <v>0</v>
      </c>
      <c r="AU184" s="12">
        <f t="shared" ref="AU184" si="3584">IF($H184*N184&gt;150000,ROUNDDOWN(($H184*N184-150000)*6%*45%,0),0)</f>
        <v>0</v>
      </c>
      <c r="AV184" s="12">
        <f t="shared" ref="AV184" si="3585">IF($H184*O184&gt;150000,ROUNDDOWN(($H184*O184-150000)*6%*45%,0),0)</f>
        <v>0</v>
      </c>
      <c r="AW184" s="12">
        <f t="shared" ref="AW184" si="3586">IF($H184*P184&gt;150000,ROUNDDOWN(($H184*P184-150000)*6%*45%,0),0)</f>
        <v>0</v>
      </c>
      <c r="AX184" s="12">
        <f t="shared" ref="AX184" si="3587">IF($H184*Q184&gt;150000,ROUNDDOWN(($H184*Q184-150000)*6%*45%,0),0)</f>
        <v>0</v>
      </c>
      <c r="AY184" s="12">
        <f t="shared" ref="AY184" si="3588">IF($H184*R184&gt;150000,ROUNDDOWN(($H184*R184-150000)*6%*45%,0),0)</f>
        <v>0</v>
      </c>
      <c r="AZ184" s="12">
        <f t="shared" ref="AZ184" si="3589">IF($H184*S184&gt;150000,ROUNDDOWN(($H184*S184-150000)*6%*45%,0),0)</f>
        <v>0</v>
      </c>
      <c r="BA184" s="12">
        <f t="shared" ref="BA184" si="3590">IF($H184*T184&gt;150000,ROUNDDOWN(($H184*T184-150000)*6%*45%,0),0)</f>
        <v>0</v>
      </c>
      <c r="BB184" s="12">
        <f t="shared" ref="BB184" si="3591">IF($H184*U184&gt;150000,ROUNDDOWN(($H184*U184-150000)*6%*45%,0),0)</f>
        <v>0</v>
      </c>
      <c r="BC184" s="12">
        <f t="shared" ref="BC184" si="3592">IF($H184*V184&gt;150000,ROUNDDOWN(($H184*V184-150000)*6%*45%,0),0)</f>
        <v>0</v>
      </c>
      <c r="BD184" s="13">
        <f t="shared" ref="BD184" si="3593">IF($H184*W184&gt;150000,ROUNDDOWN(($H184*W184-150000)*6%*45%,0),0)</f>
        <v>0</v>
      </c>
      <c r="BE184" s="14"/>
    </row>
    <row r="185" spans="1:58" x14ac:dyDescent="0.3">
      <c r="A185" s="142"/>
      <c r="B185" s="116"/>
      <c r="C185" s="116"/>
      <c r="D185" s="143"/>
      <c r="E185" s="116"/>
      <c r="F185" s="116"/>
      <c r="G185" s="144"/>
      <c r="H185" s="112"/>
      <c r="I185" s="43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5"/>
      <c r="Y185" s="145"/>
      <c r="Z185" s="116"/>
      <c r="AA185" s="112"/>
      <c r="AB185" s="65">
        <f t="shared" ref="AB185" si="3594">ROUNDDOWN(AB184*10%,-1)</f>
        <v>0</v>
      </c>
      <c r="AC185" s="66">
        <f t="shared" ref="AC185" ca="1" si="3595">IFERROR(IF(AND( OR(COUNTIF(I184:X185, "&gt;0")&gt;=$AJ$1, AA184&gt;=$AJ$4),AN184&lt;60,AA184&lt;=$AH$5),ROUNDDOWN(ROUNDDOWN(AA184,-3)*$AH$4%,-1),IF(AND(COUNTIF(I184:X185,"&gt;0")&gt;=$AJ$1,AN184&lt;60,AA184&gt;$AH$5),$AJ$5,0)),0)</f>
        <v>0</v>
      </c>
      <c r="AD185" s="67">
        <f t="shared" ref="AD185" si="3596">IF(Z184&gt;=$AJ$1,ROUNDDOWN(AD184*$AH$3%/($AH$2*2%),-1),0)</f>
        <v>0</v>
      </c>
      <c r="AE185" s="112"/>
      <c r="AF185" s="112"/>
      <c r="AG185" s="116"/>
      <c r="AH185" s="116"/>
      <c r="AI185" s="116"/>
      <c r="AJ185" s="116"/>
      <c r="AK185" s="149"/>
      <c r="AL185" s="149"/>
      <c r="AM185" s="115"/>
      <c r="AN185" s="113"/>
      <c r="AO185" s="112"/>
      <c r="AP185" s="15">
        <f t="shared" ref="AP185" si="3597">IF($H184*I185&gt;150000,ROUNDDOWN(($H184*I185-150000)*6%*45%,0),0)</f>
        <v>0</v>
      </c>
      <c r="AQ185" s="16">
        <f t="shared" ref="AQ185" si="3598">IF($H184*J185&gt;150000,ROUNDDOWN(($H184*J185-150000)*6%*45%,0),0)</f>
        <v>0</v>
      </c>
      <c r="AR185" s="16">
        <f t="shared" ref="AR185" si="3599">IF($H184*K185&gt;150000,ROUNDDOWN(($H184*K185-150000)*6%*45%,0),0)</f>
        <v>0</v>
      </c>
      <c r="AS185" s="16">
        <f t="shared" ref="AS185" si="3600">IF($H184*L185&gt;150000,ROUNDDOWN(($H184*L185-150000)*6%*45%,0),0)</f>
        <v>0</v>
      </c>
      <c r="AT185" s="16">
        <f t="shared" ref="AT185" si="3601">IF($H184*M185&gt;150000,ROUNDDOWN(($H184*M185-150000)*6%*45%,0),0)</f>
        <v>0</v>
      </c>
      <c r="AU185" s="16">
        <f t="shared" ref="AU185" si="3602">IF($H184*N185&gt;150000,ROUNDDOWN(($H184*N185-150000)*6%*45%,0),0)</f>
        <v>0</v>
      </c>
      <c r="AV185" s="16">
        <f t="shared" ref="AV185" si="3603">IF($H184*O185&gt;150000,ROUNDDOWN(($H184*O185-150000)*6%*45%,0),0)</f>
        <v>0</v>
      </c>
      <c r="AW185" s="16">
        <f t="shared" ref="AW185" si="3604">IF($H184*P185&gt;150000,ROUNDDOWN(($H184*P185-150000)*6%*45%,0),0)</f>
        <v>0</v>
      </c>
      <c r="AX185" s="16">
        <f t="shared" ref="AX185" si="3605">IF($H184*Q185&gt;150000,ROUNDDOWN(($H184*Q185-150000)*6%*45%,0),0)</f>
        <v>0</v>
      </c>
      <c r="AY185" s="16">
        <f t="shared" ref="AY185" si="3606">IF($H184*R185&gt;150000,ROUNDDOWN(($H184*R185-150000)*6%*45%,0),0)</f>
        <v>0</v>
      </c>
      <c r="AZ185" s="16">
        <f t="shared" ref="AZ185" si="3607">IF($H184*S185&gt;150000,ROUNDDOWN(($H184*S185-150000)*6%*45%,0),0)</f>
        <v>0</v>
      </c>
      <c r="BA185" s="16">
        <f t="shared" ref="BA185" si="3608">IF($H184*T185&gt;150000,ROUNDDOWN(($H184*T185-150000)*6%*45%,0),0)</f>
        <v>0</v>
      </c>
      <c r="BB185" s="16">
        <f t="shared" ref="BB185" si="3609">IF($H184*U185&gt;150000,ROUNDDOWN(($H184*U185-150000)*6%*45%,0),0)</f>
        <v>0</v>
      </c>
      <c r="BC185" s="16">
        <f t="shared" ref="BC185" si="3610">IF($H184*V185&gt;150000,ROUNDDOWN(($H184*V185-150000)*6%*45%,0),0)</f>
        <v>0</v>
      </c>
      <c r="BD185" s="16">
        <f t="shared" ref="BD185" si="3611">IF($H184*W185&gt;150000,ROUNDDOWN(($H184*W185-150000)*6%*45%,0),0)</f>
        <v>0</v>
      </c>
      <c r="BE185" s="17">
        <f t="shared" ref="BE185" si="3612">IF($H184*X185&gt;150000,ROUNDDOWN(($H184*X185-150000)*6%*45%,0),0)</f>
        <v>0</v>
      </c>
      <c r="BF185" s="28"/>
    </row>
    <row r="186" spans="1:58" x14ac:dyDescent="0.3">
      <c r="A186" s="142">
        <v>90</v>
      </c>
      <c r="B186" s="116" t="str">
        <f t="shared" ref="B186" si="3613">IF(LEN(D186)&gt;1,IF(VALUE(MID(RIGHT(D186,7),1,1))&gt;4,"외국인",IF(VALUE(RIGHT(11-MOD((MID(D186,1,1)*2+MID(D186,2,1)*3+MID(D186,3,1)*4+MID(D186,4,1)*5+MID(D186,5,1)*6+MID(D186,6,1)*7+MID(RIGHT(D186,7),1,1)*8+MID(RIGHT(D186,7),2,1)*9+MID(RIGHT(D186,7),3,1)*2+MID(RIGHT(D186,7),4,1)*3+MID(RIGHT(D186,7),5,1)*4+MID(RIGHT(D186,7),6,1)*5),11),1))=VALUE(RIGHT(D186,1)),"","오류")),"")</f>
        <v/>
      </c>
      <c r="C186" s="116"/>
      <c r="D186" s="143"/>
      <c r="E186" s="116"/>
      <c r="F186" s="116"/>
      <c r="G186" s="144"/>
      <c r="H186" s="112"/>
      <c r="I186" s="38"/>
      <c r="J186" s="39"/>
      <c r="K186" s="39"/>
      <c r="L186" s="39"/>
      <c r="M186" s="39"/>
      <c r="N186" s="39"/>
      <c r="O186" s="39"/>
      <c r="P186" s="39"/>
      <c r="Q186" s="39"/>
      <c r="R186" s="39"/>
      <c r="S186" s="40"/>
      <c r="T186" s="40"/>
      <c r="U186" s="39"/>
      <c r="V186" s="39"/>
      <c r="W186" s="41"/>
      <c r="X186" s="42"/>
      <c r="Y186" s="145">
        <f>SUM(I186:X187)</f>
        <v>0</v>
      </c>
      <c r="Z186" s="116">
        <f>COUNTIF(I186:X187,"&gt;0")</f>
        <v>0</v>
      </c>
      <c r="AA186" s="112">
        <f t="shared" ref="AA186" si="3614">H186*Y186</f>
        <v>0</v>
      </c>
      <c r="AB186" s="62">
        <f t="shared" ref="AB186" si="3615">IF(AO186&lt;1000, 0, AO186)</f>
        <v>0</v>
      </c>
      <c r="AC186" s="63">
        <f ca="1">IF(IFERROR($AN186&lt;65,FALSE), IF(B186&lt;&gt;"외국인", ROUNDDOWN(AA186*$AH$1%,-1), IF(AND(AM186&lt;&gt;"", ISNUMBER(SEARCH(LEFT(SUBSTITUTE(AM186, "-",""),2), "F2_F5_F6"))), ROUNDDOWN(AA186*$AH$1%,-1), 0)),0)</f>
        <v>0</v>
      </c>
      <c r="AD186" s="64">
        <f t="shared" ref="AD186" si="3616">IF(Z186&gt;=$AJ$1,ROUNDDOWN(AA186*$AH$2%,-1),0)</f>
        <v>0</v>
      </c>
      <c r="AE186" s="112">
        <f t="shared" ref="AE186" ca="1" si="3617">AB186+AC186+AB187+AC187+AD186+AD187</f>
        <v>0</v>
      </c>
      <c r="AF186" s="112">
        <f t="shared" ref="AF186" ca="1" si="3618">AA186-AE186</f>
        <v>0</v>
      </c>
      <c r="AG186" s="116"/>
      <c r="AH186" s="116"/>
      <c r="AI186" s="116"/>
      <c r="AJ186" s="116"/>
      <c r="AK186" s="149"/>
      <c r="AL186" s="149"/>
      <c r="AM186" s="115"/>
      <c r="AN186" s="113" t="str">
        <f t="shared" ref="AN186" ca="1" si="3619">IFERROR(DATEDIF(DATE(IF(ISNUMBER(FIND(MID( SUBSTITUTE(D186, "-",""), 7, 1), "3478")), 2000, 1900)+MID(D186,1,2), MID(D186,3,2), MID(D186,5,2)), TODAY(), "Y"),"")</f>
        <v/>
      </c>
      <c r="AO186" s="112">
        <f>ROUNDDOWN(SUM(AP186:BE187),-1)</f>
        <v>0</v>
      </c>
      <c r="AP186" s="11">
        <f t="shared" ref="AP186" si="3620">IF($H186*I186&gt;150000,ROUNDDOWN(($H186*I186-150000)*6%*45%,0),0)</f>
        <v>0</v>
      </c>
      <c r="AQ186" s="12">
        <f t="shared" ref="AQ186" si="3621">IF($H186*J186&gt;150000,ROUNDDOWN(($H186*J186-150000)*6%*45%,0),0)</f>
        <v>0</v>
      </c>
      <c r="AR186" s="12">
        <f t="shared" ref="AR186" si="3622">IF($H186*K186&gt;150000,ROUNDDOWN(($H186*K186-150000)*6%*45%,0),0)</f>
        <v>0</v>
      </c>
      <c r="AS186" s="12">
        <f t="shared" ref="AS186" si="3623">IF($H186*L186&gt;150000,ROUNDDOWN(($H186*L186-150000)*6%*45%,0),0)</f>
        <v>0</v>
      </c>
      <c r="AT186" s="12">
        <f t="shared" ref="AT186" si="3624">IF($H186*M186&gt;150000,ROUNDDOWN(($H186*M186-150000)*6%*45%,0),0)</f>
        <v>0</v>
      </c>
      <c r="AU186" s="12">
        <f t="shared" ref="AU186" si="3625">IF($H186*N186&gt;150000,ROUNDDOWN(($H186*N186-150000)*6%*45%,0),0)</f>
        <v>0</v>
      </c>
      <c r="AV186" s="12">
        <f t="shared" ref="AV186" si="3626">IF($H186*O186&gt;150000,ROUNDDOWN(($H186*O186-150000)*6%*45%,0),0)</f>
        <v>0</v>
      </c>
      <c r="AW186" s="12">
        <f t="shared" ref="AW186" si="3627">IF($H186*P186&gt;150000,ROUNDDOWN(($H186*P186-150000)*6%*45%,0),0)</f>
        <v>0</v>
      </c>
      <c r="AX186" s="12">
        <f t="shared" ref="AX186" si="3628">IF($H186*Q186&gt;150000,ROUNDDOWN(($H186*Q186-150000)*6%*45%,0),0)</f>
        <v>0</v>
      </c>
      <c r="AY186" s="12">
        <f t="shared" ref="AY186" si="3629">IF($H186*R186&gt;150000,ROUNDDOWN(($H186*R186-150000)*6%*45%,0),0)</f>
        <v>0</v>
      </c>
      <c r="AZ186" s="12">
        <f t="shared" ref="AZ186" si="3630">IF($H186*S186&gt;150000,ROUNDDOWN(($H186*S186-150000)*6%*45%,0),0)</f>
        <v>0</v>
      </c>
      <c r="BA186" s="12">
        <f t="shared" ref="BA186" si="3631">IF($H186*T186&gt;150000,ROUNDDOWN(($H186*T186-150000)*6%*45%,0),0)</f>
        <v>0</v>
      </c>
      <c r="BB186" s="12">
        <f t="shared" ref="BB186" si="3632">IF($H186*U186&gt;150000,ROUNDDOWN(($H186*U186-150000)*6%*45%,0),0)</f>
        <v>0</v>
      </c>
      <c r="BC186" s="12">
        <f t="shared" ref="BC186" si="3633">IF($H186*V186&gt;150000,ROUNDDOWN(($H186*V186-150000)*6%*45%,0),0)</f>
        <v>0</v>
      </c>
      <c r="BD186" s="13">
        <f t="shared" ref="BD186" si="3634">IF($H186*W186&gt;150000,ROUNDDOWN(($H186*W186-150000)*6%*45%,0),0)</f>
        <v>0</v>
      </c>
      <c r="BE186" s="14"/>
    </row>
    <row r="187" spans="1:58" x14ac:dyDescent="0.3">
      <c r="A187" s="142"/>
      <c r="B187" s="116"/>
      <c r="C187" s="116"/>
      <c r="D187" s="143"/>
      <c r="E187" s="116"/>
      <c r="F187" s="116"/>
      <c r="G187" s="144"/>
      <c r="H187" s="112"/>
      <c r="I187" s="43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5"/>
      <c r="Y187" s="145"/>
      <c r="Z187" s="116"/>
      <c r="AA187" s="112"/>
      <c r="AB187" s="65">
        <f t="shared" ref="AB187" si="3635">ROUNDDOWN(AB186*10%,-1)</f>
        <v>0</v>
      </c>
      <c r="AC187" s="66">
        <f t="shared" ref="AC187" ca="1" si="3636">IFERROR(IF(AND( OR(COUNTIF(I186:X187, "&gt;0")&gt;=$AJ$1, AA186&gt;=$AJ$4),AN186&lt;60,AA186&lt;=$AH$5),ROUNDDOWN(ROUNDDOWN(AA186,-3)*$AH$4%,-1),IF(AND(COUNTIF(I186:X187,"&gt;0")&gt;=$AJ$1,AN186&lt;60,AA186&gt;$AH$5),$AJ$5,0)),0)</f>
        <v>0</v>
      </c>
      <c r="AD187" s="67">
        <f t="shared" ref="AD187" si="3637">IF(Z186&gt;=$AJ$1,ROUNDDOWN(AD186*$AH$3%/($AH$2*2%),-1),0)</f>
        <v>0</v>
      </c>
      <c r="AE187" s="112"/>
      <c r="AF187" s="112"/>
      <c r="AG187" s="116"/>
      <c r="AH187" s="116"/>
      <c r="AI187" s="116"/>
      <c r="AJ187" s="116"/>
      <c r="AK187" s="149"/>
      <c r="AL187" s="149"/>
      <c r="AM187" s="115"/>
      <c r="AN187" s="113"/>
      <c r="AO187" s="112"/>
      <c r="AP187" s="15">
        <f t="shared" ref="AP187" si="3638">IF($H186*I187&gt;150000,ROUNDDOWN(($H186*I187-150000)*6%*45%,0),0)</f>
        <v>0</v>
      </c>
      <c r="AQ187" s="16">
        <f t="shared" ref="AQ187" si="3639">IF($H186*J187&gt;150000,ROUNDDOWN(($H186*J187-150000)*6%*45%,0),0)</f>
        <v>0</v>
      </c>
      <c r="AR187" s="16">
        <f t="shared" ref="AR187" si="3640">IF($H186*K187&gt;150000,ROUNDDOWN(($H186*K187-150000)*6%*45%,0),0)</f>
        <v>0</v>
      </c>
      <c r="AS187" s="16">
        <f t="shared" ref="AS187" si="3641">IF($H186*L187&gt;150000,ROUNDDOWN(($H186*L187-150000)*6%*45%,0),0)</f>
        <v>0</v>
      </c>
      <c r="AT187" s="16">
        <f t="shared" ref="AT187" si="3642">IF($H186*M187&gt;150000,ROUNDDOWN(($H186*M187-150000)*6%*45%,0),0)</f>
        <v>0</v>
      </c>
      <c r="AU187" s="16">
        <f t="shared" ref="AU187" si="3643">IF($H186*N187&gt;150000,ROUNDDOWN(($H186*N187-150000)*6%*45%,0),0)</f>
        <v>0</v>
      </c>
      <c r="AV187" s="16">
        <f t="shared" ref="AV187" si="3644">IF($H186*O187&gt;150000,ROUNDDOWN(($H186*O187-150000)*6%*45%,0),0)</f>
        <v>0</v>
      </c>
      <c r="AW187" s="16">
        <f t="shared" ref="AW187" si="3645">IF($H186*P187&gt;150000,ROUNDDOWN(($H186*P187-150000)*6%*45%,0),0)</f>
        <v>0</v>
      </c>
      <c r="AX187" s="16">
        <f t="shared" ref="AX187" si="3646">IF($H186*Q187&gt;150000,ROUNDDOWN(($H186*Q187-150000)*6%*45%,0),0)</f>
        <v>0</v>
      </c>
      <c r="AY187" s="16">
        <f t="shared" ref="AY187" si="3647">IF($H186*R187&gt;150000,ROUNDDOWN(($H186*R187-150000)*6%*45%,0),0)</f>
        <v>0</v>
      </c>
      <c r="AZ187" s="16">
        <f t="shared" ref="AZ187" si="3648">IF($H186*S187&gt;150000,ROUNDDOWN(($H186*S187-150000)*6%*45%,0),0)</f>
        <v>0</v>
      </c>
      <c r="BA187" s="16">
        <f t="shared" ref="BA187" si="3649">IF($H186*T187&gt;150000,ROUNDDOWN(($H186*T187-150000)*6%*45%,0),0)</f>
        <v>0</v>
      </c>
      <c r="BB187" s="16">
        <f t="shared" ref="BB187" si="3650">IF($H186*U187&gt;150000,ROUNDDOWN(($H186*U187-150000)*6%*45%,0),0)</f>
        <v>0</v>
      </c>
      <c r="BC187" s="16">
        <f t="shared" ref="BC187" si="3651">IF($H186*V187&gt;150000,ROUNDDOWN(($H186*V187-150000)*6%*45%,0),0)</f>
        <v>0</v>
      </c>
      <c r="BD187" s="16">
        <f t="shared" ref="BD187" si="3652">IF($H186*W187&gt;150000,ROUNDDOWN(($H186*W187-150000)*6%*45%,0),0)</f>
        <v>0</v>
      </c>
      <c r="BE187" s="17">
        <f t="shared" ref="BE187" si="3653">IF($H186*X187&gt;150000,ROUNDDOWN(($H186*X187-150000)*6%*45%,0),0)</f>
        <v>0</v>
      </c>
      <c r="BF187" s="28"/>
    </row>
    <row r="188" spans="1:58" x14ac:dyDescent="0.3">
      <c r="A188" s="142">
        <v>91</v>
      </c>
      <c r="B188" s="116" t="str">
        <f t="shared" ref="B188" si="3654">IF(LEN(D188)&gt;1,IF(VALUE(MID(RIGHT(D188,7),1,1))&gt;4,"외국인",IF(VALUE(RIGHT(11-MOD((MID(D188,1,1)*2+MID(D188,2,1)*3+MID(D188,3,1)*4+MID(D188,4,1)*5+MID(D188,5,1)*6+MID(D188,6,1)*7+MID(RIGHT(D188,7),1,1)*8+MID(RIGHT(D188,7),2,1)*9+MID(RIGHT(D188,7),3,1)*2+MID(RIGHT(D188,7),4,1)*3+MID(RIGHT(D188,7),5,1)*4+MID(RIGHT(D188,7),6,1)*5),11),1))=VALUE(RIGHT(D188,1)),"","오류")),"")</f>
        <v/>
      </c>
      <c r="C188" s="116"/>
      <c r="D188" s="143"/>
      <c r="E188" s="116"/>
      <c r="F188" s="116"/>
      <c r="G188" s="144"/>
      <c r="H188" s="112"/>
      <c r="I188" s="38"/>
      <c r="J188" s="39"/>
      <c r="K188" s="39"/>
      <c r="L188" s="39"/>
      <c r="M188" s="39"/>
      <c r="N188" s="39"/>
      <c r="O188" s="39"/>
      <c r="P188" s="39"/>
      <c r="Q188" s="39"/>
      <c r="R188" s="39"/>
      <c r="S188" s="40"/>
      <c r="T188" s="40"/>
      <c r="U188" s="39"/>
      <c r="V188" s="39"/>
      <c r="W188" s="41"/>
      <c r="X188" s="42"/>
      <c r="Y188" s="145">
        <f>SUM(I188:X189)</f>
        <v>0</v>
      </c>
      <c r="Z188" s="116">
        <f>COUNTIF(I188:X189,"&gt;0")</f>
        <v>0</v>
      </c>
      <c r="AA188" s="112">
        <f t="shared" ref="AA188" si="3655">H188*Y188</f>
        <v>0</v>
      </c>
      <c r="AB188" s="62">
        <f t="shared" ref="AB188" si="3656">IF(AO188&lt;1000, 0, AO188)</f>
        <v>0</v>
      </c>
      <c r="AC188" s="63">
        <f ca="1">IF(IFERROR($AN188&lt;65,FALSE), IF(B188&lt;&gt;"외국인", ROUNDDOWN(AA188*$AH$1%,-1), IF(AND(AM188&lt;&gt;"", ISNUMBER(SEARCH(LEFT(SUBSTITUTE(AM188, "-",""),2), "F2_F5_F6"))), ROUNDDOWN(AA188*$AH$1%,-1), 0)),0)</f>
        <v>0</v>
      </c>
      <c r="AD188" s="64">
        <f t="shared" ref="AD188" si="3657">IF(Z188&gt;=$AJ$1,ROUNDDOWN(AA188*$AH$2%,-1),0)</f>
        <v>0</v>
      </c>
      <c r="AE188" s="112">
        <f t="shared" ref="AE188" ca="1" si="3658">AB188+AC188+AB189+AC189+AD188+AD189</f>
        <v>0</v>
      </c>
      <c r="AF188" s="112">
        <f t="shared" ref="AF188" ca="1" si="3659">AA188-AE188</f>
        <v>0</v>
      </c>
      <c r="AG188" s="116"/>
      <c r="AH188" s="116"/>
      <c r="AI188" s="116"/>
      <c r="AJ188" s="116"/>
      <c r="AK188" s="149"/>
      <c r="AL188" s="149"/>
      <c r="AM188" s="115"/>
      <c r="AN188" s="113" t="str">
        <f t="shared" ref="AN188" ca="1" si="3660">IFERROR(DATEDIF(DATE(IF(ISNUMBER(FIND(MID( SUBSTITUTE(D188, "-",""), 7, 1), "3478")), 2000, 1900)+MID(D188,1,2), MID(D188,3,2), MID(D188,5,2)), TODAY(), "Y"),"")</f>
        <v/>
      </c>
      <c r="AO188" s="112">
        <f>ROUNDDOWN(SUM(AP188:BE189),-1)</f>
        <v>0</v>
      </c>
      <c r="AP188" s="11">
        <f t="shared" ref="AP188" si="3661">IF($H188*I188&gt;150000,ROUNDDOWN(($H188*I188-150000)*6%*45%,0),0)</f>
        <v>0</v>
      </c>
      <c r="AQ188" s="12">
        <f t="shared" ref="AQ188" si="3662">IF($H188*J188&gt;150000,ROUNDDOWN(($H188*J188-150000)*6%*45%,0),0)</f>
        <v>0</v>
      </c>
      <c r="AR188" s="12">
        <f t="shared" ref="AR188" si="3663">IF($H188*K188&gt;150000,ROUNDDOWN(($H188*K188-150000)*6%*45%,0),0)</f>
        <v>0</v>
      </c>
      <c r="AS188" s="12">
        <f t="shared" ref="AS188" si="3664">IF($H188*L188&gt;150000,ROUNDDOWN(($H188*L188-150000)*6%*45%,0),0)</f>
        <v>0</v>
      </c>
      <c r="AT188" s="12">
        <f t="shared" ref="AT188" si="3665">IF($H188*M188&gt;150000,ROUNDDOWN(($H188*M188-150000)*6%*45%,0),0)</f>
        <v>0</v>
      </c>
      <c r="AU188" s="12">
        <f t="shared" ref="AU188" si="3666">IF($H188*N188&gt;150000,ROUNDDOWN(($H188*N188-150000)*6%*45%,0),0)</f>
        <v>0</v>
      </c>
      <c r="AV188" s="12">
        <f t="shared" ref="AV188" si="3667">IF($H188*O188&gt;150000,ROUNDDOWN(($H188*O188-150000)*6%*45%,0),0)</f>
        <v>0</v>
      </c>
      <c r="AW188" s="12">
        <f t="shared" ref="AW188" si="3668">IF($H188*P188&gt;150000,ROUNDDOWN(($H188*P188-150000)*6%*45%,0),0)</f>
        <v>0</v>
      </c>
      <c r="AX188" s="12">
        <f t="shared" ref="AX188" si="3669">IF($H188*Q188&gt;150000,ROUNDDOWN(($H188*Q188-150000)*6%*45%,0),0)</f>
        <v>0</v>
      </c>
      <c r="AY188" s="12">
        <f t="shared" ref="AY188" si="3670">IF($H188*R188&gt;150000,ROUNDDOWN(($H188*R188-150000)*6%*45%,0),0)</f>
        <v>0</v>
      </c>
      <c r="AZ188" s="12">
        <f t="shared" ref="AZ188" si="3671">IF($H188*S188&gt;150000,ROUNDDOWN(($H188*S188-150000)*6%*45%,0),0)</f>
        <v>0</v>
      </c>
      <c r="BA188" s="12">
        <f t="shared" ref="BA188" si="3672">IF($H188*T188&gt;150000,ROUNDDOWN(($H188*T188-150000)*6%*45%,0),0)</f>
        <v>0</v>
      </c>
      <c r="BB188" s="12">
        <f t="shared" ref="BB188" si="3673">IF($H188*U188&gt;150000,ROUNDDOWN(($H188*U188-150000)*6%*45%,0),0)</f>
        <v>0</v>
      </c>
      <c r="BC188" s="12">
        <f t="shared" ref="BC188" si="3674">IF($H188*V188&gt;150000,ROUNDDOWN(($H188*V188-150000)*6%*45%,0),0)</f>
        <v>0</v>
      </c>
      <c r="BD188" s="13">
        <f t="shared" ref="BD188" si="3675">IF($H188*W188&gt;150000,ROUNDDOWN(($H188*W188-150000)*6%*45%,0),0)</f>
        <v>0</v>
      </c>
      <c r="BE188" s="14"/>
    </row>
    <row r="189" spans="1:58" x14ac:dyDescent="0.3">
      <c r="A189" s="142"/>
      <c r="B189" s="116"/>
      <c r="C189" s="116"/>
      <c r="D189" s="143"/>
      <c r="E189" s="116"/>
      <c r="F189" s="116"/>
      <c r="G189" s="144"/>
      <c r="H189" s="112"/>
      <c r="I189" s="43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5"/>
      <c r="Y189" s="145"/>
      <c r="Z189" s="116"/>
      <c r="AA189" s="112"/>
      <c r="AB189" s="65">
        <f t="shared" ref="AB189" si="3676">ROUNDDOWN(AB188*10%,-1)</f>
        <v>0</v>
      </c>
      <c r="AC189" s="66">
        <f t="shared" ref="AC189" ca="1" si="3677">IFERROR(IF(AND( OR(COUNTIF(I188:X189, "&gt;0")&gt;=$AJ$1, AA188&gt;=$AJ$4),AN188&lt;60,AA188&lt;=$AH$5),ROUNDDOWN(ROUNDDOWN(AA188,-3)*$AH$4%,-1),IF(AND(COUNTIF(I188:X189,"&gt;0")&gt;=$AJ$1,AN188&lt;60,AA188&gt;$AH$5),$AJ$5,0)),0)</f>
        <v>0</v>
      </c>
      <c r="AD189" s="67">
        <f t="shared" ref="AD189" si="3678">IF(Z188&gt;=$AJ$1,ROUNDDOWN(AD188*$AH$3%/($AH$2*2%),-1),0)</f>
        <v>0</v>
      </c>
      <c r="AE189" s="112"/>
      <c r="AF189" s="112"/>
      <c r="AG189" s="116"/>
      <c r="AH189" s="116"/>
      <c r="AI189" s="116"/>
      <c r="AJ189" s="116"/>
      <c r="AK189" s="149"/>
      <c r="AL189" s="149"/>
      <c r="AM189" s="115"/>
      <c r="AN189" s="113"/>
      <c r="AO189" s="112"/>
      <c r="AP189" s="15">
        <f t="shared" ref="AP189" si="3679">IF($H188*I189&gt;150000,ROUNDDOWN(($H188*I189-150000)*6%*45%,0),0)</f>
        <v>0</v>
      </c>
      <c r="AQ189" s="16">
        <f t="shared" ref="AQ189" si="3680">IF($H188*J189&gt;150000,ROUNDDOWN(($H188*J189-150000)*6%*45%,0),0)</f>
        <v>0</v>
      </c>
      <c r="AR189" s="16">
        <f t="shared" ref="AR189" si="3681">IF($H188*K189&gt;150000,ROUNDDOWN(($H188*K189-150000)*6%*45%,0),0)</f>
        <v>0</v>
      </c>
      <c r="AS189" s="16">
        <f t="shared" ref="AS189" si="3682">IF($H188*L189&gt;150000,ROUNDDOWN(($H188*L189-150000)*6%*45%,0),0)</f>
        <v>0</v>
      </c>
      <c r="AT189" s="16">
        <f t="shared" ref="AT189" si="3683">IF($H188*M189&gt;150000,ROUNDDOWN(($H188*M189-150000)*6%*45%,0),0)</f>
        <v>0</v>
      </c>
      <c r="AU189" s="16">
        <f t="shared" ref="AU189" si="3684">IF($H188*N189&gt;150000,ROUNDDOWN(($H188*N189-150000)*6%*45%,0),0)</f>
        <v>0</v>
      </c>
      <c r="AV189" s="16">
        <f t="shared" ref="AV189" si="3685">IF($H188*O189&gt;150000,ROUNDDOWN(($H188*O189-150000)*6%*45%,0),0)</f>
        <v>0</v>
      </c>
      <c r="AW189" s="16">
        <f t="shared" ref="AW189" si="3686">IF($H188*P189&gt;150000,ROUNDDOWN(($H188*P189-150000)*6%*45%,0),0)</f>
        <v>0</v>
      </c>
      <c r="AX189" s="16">
        <f t="shared" ref="AX189" si="3687">IF($H188*Q189&gt;150000,ROUNDDOWN(($H188*Q189-150000)*6%*45%,0),0)</f>
        <v>0</v>
      </c>
      <c r="AY189" s="16">
        <f t="shared" ref="AY189" si="3688">IF($H188*R189&gt;150000,ROUNDDOWN(($H188*R189-150000)*6%*45%,0),0)</f>
        <v>0</v>
      </c>
      <c r="AZ189" s="16">
        <f t="shared" ref="AZ189" si="3689">IF($H188*S189&gt;150000,ROUNDDOWN(($H188*S189-150000)*6%*45%,0),0)</f>
        <v>0</v>
      </c>
      <c r="BA189" s="16">
        <f t="shared" ref="BA189" si="3690">IF($H188*T189&gt;150000,ROUNDDOWN(($H188*T189-150000)*6%*45%,0),0)</f>
        <v>0</v>
      </c>
      <c r="BB189" s="16">
        <f t="shared" ref="BB189" si="3691">IF($H188*U189&gt;150000,ROUNDDOWN(($H188*U189-150000)*6%*45%,0),0)</f>
        <v>0</v>
      </c>
      <c r="BC189" s="16">
        <f t="shared" ref="BC189" si="3692">IF($H188*V189&gt;150000,ROUNDDOWN(($H188*V189-150000)*6%*45%,0),0)</f>
        <v>0</v>
      </c>
      <c r="BD189" s="16">
        <f t="shared" ref="BD189" si="3693">IF($H188*W189&gt;150000,ROUNDDOWN(($H188*W189-150000)*6%*45%,0),0)</f>
        <v>0</v>
      </c>
      <c r="BE189" s="17">
        <f t="shared" ref="BE189" si="3694">IF($H188*X189&gt;150000,ROUNDDOWN(($H188*X189-150000)*6%*45%,0),0)</f>
        <v>0</v>
      </c>
      <c r="BF189" s="28"/>
    </row>
    <row r="190" spans="1:58" x14ac:dyDescent="0.3">
      <c r="A190" s="142">
        <v>92</v>
      </c>
      <c r="B190" s="116" t="str">
        <f t="shared" ref="B190" si="3695">IF(LEN(D190)&gt;1,IF(VALUE(MID(RIGHT(D190,7),1,1))&gt;4,"외국인",IF(VALUE(RIGHT(11-MOD((MID(D190,1,1)*2+MID(D190,2,1)*3+MID(D190,3,1)*4+MID(D190,4,1)*5+MID(D190,5,1)*6+MID(D190,6,1)*7+MID(RIGHT(D190,7),1,1)*8+MID(RIGHT(D190,7),2,1)*9+MID(RIGHT(D190,7),3,1)*2+MID(RIGHT(D190,7),4,1)*3+MID(RIGHT(D190,7),5,1)*4+MID(RIGHT(D190,7),6,1)*5),11),1))=VALUE(RIGHT(D190,1)),"","오류")),"")</f>
        <v/>
      </c>
      <c r="C190" s="116"/>
      <c r="D190" s="143"/>
      <c r="E190" s="116"/>
      <c r="F190" s="116"/>
      <c r="G190" s="144"/>
      <c r="H190" s="112"/>
      <c r="I190" s="38"/>
      <c r="J190" s="39"/>
      <c r="K190" s="39"/>
      <c r="L190" s="39"/>
      <c r="M190" s="39"/>
      <c r="N190" s="39"/>
      <c r="O190" s="39"/>
      <c r="P190" s="39"/>
      <c r="Q190" s="39"/>
      <c r="R190" s="39"/>
      <c r="S190" s="40"/>
      <c r="T190" s="40"/>
      <c r="U190" s="39"/>
      <c r="V190" s="39"/>
      <c r="W190" s="41"/>
      <c r="X190" s="42"/>
      <c r="Y190" s="145">
        <f>SUM(I190:X191)</f>
        <v>0</v>
      </c>
      <c r="Z190" s="116">
        <f>COUNTIF(I190:X191,"&gt;0")</f>
        <v>0</v>
      </c>
      <c r="AA190" s="112">
        <f t="shared" ref="AA190" si="3696">H190*Y190</f>
        <v>0</v>
      </c>
      <c r="AB190" s="62">
        <f t="shared" ref="AB190" si="3697">IF(AO190&lt;1000, 0, AO190)</f>
        <v>0</v>
      </c>
      <c r="AC190" s="63">
        <f ca="1">IF(IFERROR($AN190&lt;65,FALSE), IF(B190&lt;&gt;"외국인", ROUNDDOWN(AA190*$AH$1%,-1), IF(AND(AM190&lt;&gt;"", ISNUMBER(SEARCH(LEFT(SUBSTITUTE(AM190, "-",""),2), "F2_F5_F6"))), ROUNDDOWN(AA190*$AH$1%,-1), 0)),0)</f>
        <v>0</v>
      </c>
      <c r="AD190" s="64">
        <f t="shared" ref="AD190" si="3698">IF(Z190&gt;=$AJ$1,ROUNDDOWN(AA190*$AH$2%,-1),0)</f>
        <v>0</v>
      </c>
      <c r="AE190" s="112">
        <f t="shared" ref="AE190" ca="1" si="3699">AB190+AC190+AB191+AC191+AD190+AD191</f>
        <v>0</v>
      </c>
      <c r="AF190" s="112">
        <f t="shared" ref="AF190" ca="1" si="3700">AA190-AE190</f>
        <v>0</v>
      </c>
      <c r="AG190" s="116"/>
      <c r="AH190" s="116"/>
      <c r="AI190" s="116"/>
      <c r="AJ190" s="116"/>
      <c r="AK190" s="149"/>
      <c r="AL190" s="149"/>
      <c r="AM190" s="115"/>
      <c r="AN190" s="113" t="str">
        <f t="shared" ref="AN190" ca="1" si="3701">IFERROR(DATEDIF(DATE(IF(ISNUMBER(FIND(MID( SUBSTITUTE(D190, "-",""), 7, 1), "3478")), 2000, 1900)+MID(D190,1,2), MID(D190,3,2), MID(D190,5,2)), TODAY(), "Y"),"")</f>
        <v/>
      </c>
      <c r="AO190" s="112">
        <f>ROUNDDOWN(SUM(AP190:BE191),-1)</f>
        <v>0</v>
      </c>
      <c r="AP190" s="11">
        <f t="shared" ref="AP190" si="3702">IF($H190*I190&gt;150000,ROUNDDOWN(($H190*I190-150000)*6%*45%,0),0)</f>
        <v>0</v>
      </c>
      <c r="AQ190" s="12">
        <f t="shared" ref="AQ190" si="3703">IF($H190*J190&gt;150000,ROUNDDOWN(($H190*J190-150000)*6%*45%,0),0)</f>
        <v>0</v>
      </c>
      <c r="AR190" s="12">
        <f t="shared" ref="AR190" si="3704">IF($H190*K190&gt;150000,ROUNDDOWN(($H190*K190-150000)*6%*45%,0),0)</f>
        <v>0</v>
      </c>
      <c r="AS190" s="12">
        <f t="shared" ref="AS190" si="3705">IF($H190*L190&gt;150000,ROUNDDOWN(($H190*L190-150000)*6%*45%,0),0)</f>
        <v>0</v>
      </c>
      <c r="AT190" s="12">
        <f t="shared" ref="AT190" si="3706">IF($H190*M190&gt;150000,ROUNDDOWN(($H190*M190-150000)*6%*45%,0),0)</f>
        <v>0</v>
      </c>
      <c r="AU190" s="12">
        <f t="shared" ref="AU190" si="3707">IF($H190*N190&gt;150000,ROUNDDOWN(($H190*N190-150000)*6%*45%,0),0)</f>
        <v>0</v>
      </c>
      <c r="AV190" s="12">
        <f t="shared" ref="AV190" si="3708">IF($H190*O190&gt;150000,ROUNDDOWN(($H190*O190-150000)*6%*45%,0),0)</f>
        <v>0</v>
      </c>
      <c r="AW190" s="12">
        <f t="shared" ref="AW190" si="3709">IF($H190*P190&gt;150000,ROUNDDOWN(($H190*P190-150000)*6%*45%,0),0)</f>
        <v>0</v>
      </c>
      <c r="AX190" s="12">
        <f t="shared" ref="AX190" si="3710">IF($H190*Q190&gt;150000,ROUNDDOWN(($H190*Q190-150000)*6%*45%,0),0)</f>
        <v>0</v>
      </c>
      <c r="AY190" s="12">
        <f t="shared" ref="AY190" si="3711">IF($H190*R190&gt;150000,ROUNDDOWN(($H190*R190-150000)*6%*45%,0),0)</f>
        <v>0</v>
      </c>
      <c r="AZ190" s="12">
        <f t="shared" ref="AZ190" si="3712">IF($H190*S190&gt;150000,ROUNDDOWN(($H190*S190-150000)*6%*45%,0),0)</f>
        <v>0</v>
      </c>
      <c r="BA190" s="12">
        <f t="shared" ref="BA190" si="3713">IF($H190*T190&gt;150000,ROUNDDOWN(($H190*T190-150000)*6%*45%,0),0)</f>
        <v>0</v>
      </c>
      <c r="BB190" s="12">
        <f t="shared" ref="BB190" si="3714">IF($H190*U190&gt;150000,ROUNDDOWN(($H190*U190-150000)*6%*45%,0),0)</f>
        <v>0</v>
      </c>
      <c r="BC190" s="12">
        <f t="shared" ref="BC190" si="3715">IF($H190*V190&gt;150000,ROUNDDOWN(($H190*V190-150000)*6%*45%,0),0)</f>
        <v>0</v>
      </c>
      <c r="BD190" s="13">
        <f t="shared" ref="BD190" si="3716">IF($H190*W190&gt;150000,ROUNDDOWN(($H190*W190-150000)*6%*45%,0),0)</f>
        <v>0</v>
      </c>
      <c r="BE190" s="14"/>
    </row>
    <row r="191" spans="1:58" x14ac:dyDescent="0.3">
      <c r="A191" s="142"/>
      <c r="B191" s="116"/>
      <c r="C191" s="116"/>
      <c r="D191" s="143"/>
      <c r="E191" s="116"/>
      <c r="F191" s="116"/>
      <c r="G191" s="144"/>
      <c r="H191" s="112"/>
      <c r="I191" s="43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5"/>
      <c r="Y191" s="145"/>
      <c r="Z191" s="116"/>
      <c r="AA191" s="112"/>
      <c r="AB191" s="65">
        <f t="shared" ref="AB191" si="3717">ROUNDDOWN(AB190*10%,-1)</f>
        <v>0</v>
      </c>
      <c r="AC191" s="66">
        <f t="shared" ref="AC191" ca="1" si="3718">IFERROR(IF(AND( OR(COUNTIF(I190:X191, "&gt;0")&gt;=$AJ$1, AA190&gt;=$AJ$4),AN190&lt;60,AA190&lt;=$AH$5),ROUNDDOWN(ROUNDDOWN(AA190,-3)*$AH$4%,-1),IF(AND(COUNTIF(I190:X191,"&gt;0")&gt;=$AJ$1,AN190&lt;60,AA190&gt;$AH$5),$AJ$5,0)),0)</f>
        <v>0</v>
      </c>
      <c r="AD191" s="67">
        <f t="shared" ref="AD191" si="3719">IF(Z190&gt;=$AJ$1,ROUNDDOWN(AD190*$AH$3%/($AH$2*2%),-1),0)</f>
        <v>0</v>
      </c>
      <c r="AE191" s="112"/>
      <c r="AF191" s="112"/>
      <c r="AG191" s="116"/>
      <c r="AH191" s="116"/>
      <c r="AI191" s="116"/>
      <c r="AJ191" s="116"/>
      <c r="AK191" s="149"/>
      <c r="AL191" s="149"/>
      <c r="AM191" s="115"/>
      <c r="AN191" s="113"/>
      <c r="AO191" s="112"/>
      <c r="AP191" s="15">
        <f t="shared" ref="AP191" si="3720">IF($H190*I191&gt;150000,ROUNDDOWN(($H190*I191-150000)*6%*45%,0),0)</f>
        <v>0</v>
      </c>
      <c r="AQ191" s="16">
        <f t="shared" ref="AQ191" si="3721">IF($H190*J191&gt;150000,ROUNDDOWN(($H190*J191-150000)*6%*45%,0),0)</f>
        <v>0</v>
      </c>
      <c r="AR191" s="16">
        <f t="shared" ref="AR191" si="3722">IF($H190*K191&gt;150000,ROUNDDOWN(($H190*K191-150000)*6%*45%,0),0)</f>
        <v>0</v>
      </c>
      <c r="AS191" s="16">
        <f t="shared" ref="AS191" si="3723">IF($H190*L191&gt;150000,ROUNDDOWN(($H190*L191-150000)*6%*45%,0),0)</f>
        <v>0</v>
      </c>
      <c r="AT191" s="16">
        <f t="shared" ref="AT191" si="3724">IF($H190*M191&gt;150000,ROUNDDOWN(($H190*M191-150000)*6%*45%,0),0)</f>
        <v>0</v>
      </c>
      <c r="AU191" s="16">
        <f t="shared" ref="AU191" si="3725">IF($H190*N191&gt;150000,ROUNDDOWN(($H190*N191-150000)*6%*45%,0),0)</f>
        <v>0</v>
      </c>
      <c r="AV191" s="16">
        <f t="shared" ref="AV191" si="3726">IF($H190*O191&gt;150000,ROUNDDOWN(($H190*O191-150000)*6%*45%,0),0)</f>
        <v>0</v>
      </c>
      <c r="AW191" s="16">
        <f t="shared" ref="AW191" si="3727">IF($H190*P191&gt;150000,ROUNDDOWN(($H190*P191-150000)*6%*45%,0),0)</f>
        <v>0</v>
      </c>
      <c r="AX191" s="16">
        <f t="shared" ref="AX191" si="3728">IF($H190*Q191&gt;150000,ROUNDDOWN(($H190*Q191-150000)*6%*45%,0),0)</f>
        <v>0</v>
      </c>
      <c r="AY191" s="16">
        <f t="shared" ref="AY191" si="3729">IF($H190*R191&gt;150000,ROUNDDOWN(($H190*R191-150000)*6%*45%,0),0)</f>
        <v>0</v>
      </c>
      <c r="AZ191" s="16">
        <f t="shared" ref="AZ191" si="3730">IF($H190*S191&gt;150000,ROUNDDOWN(($H190*S191-150000)*6%*45%,0),0)</f>
        <v>0</v>
      </c>
      <c r="BA191" s="16">
        <f t="shared" ref="BA191" si="3731">IF($H190*T191&gt;150000,ROUNDDOWN(($H190*T191-150000)*6%*45%,0),0)</f>
        <v>0</v>
      </c>
      <c r="BB191" s="16">
        <f t="shared" ref="BB191" si="3732">IF($H190*U191&gt;150000,ROUNDDOWN(($H190*U191-150000)*6%*45%,0),0)</f>
        <v>0</v>
      </c>
      <c r="BC191" s="16">
        <f t="shared" ref="BC191" si="3733">IF($H190*V191&gt;150000,ROUNDDOWN(($H190*V191-150000)*6%*45%,0),0)</f>
        <v>0</v>
      </c>
      <c r="BD191" s="16">
        <f t="shared" ref="BD191" si="3734">IF($H190*W191&gt;150000,ROUNDDOWN(($H190*W191-150000)*6%*45%,0),0)</f>
        <v>0</v>
      </c>
      <c r="BE191" s="17">
        <f t="shared" ref="BE191" si="3735">IF($H190*X191&gt;150000,ROUNDDOWN(($H190*X191-150000)*6%*45%,0),0)</f>
        <v>0</v>
      </c>
      <c r="BF191" s="28"/>
    </row>
    <row r="192" spans="1:58" x14ac:dyDescent="0.3">
      <c r="A192" s="142">
        <v>93</v>
      </c>
      <c r="B192" s="116" t="str">
        <f t="shared" ref="B192" si="3736">IF(LEN(D192)&gt;1,IF(VALUE(MID(RIGHT(D192,7),1,1))&gt;4,"외국인",IF(VALUE(RIGHT(11-MOD((MID(D192,1,1)*2+MID(D192,2,1)*3+MID(D192,3,1)*4+MID(D192,4,1)*5+MID(D192,5,1)*6+MID(D192,6,1)*7+MID(RIGHT(D192,7),1,1)*8+MID(RIGHT(D192,7),2,1)*9+MID(RIGHT(D192,7),3,1)*2+MID(RIGHT(D192,7),4,1)*3+MID(RIGHT(D192,7),5,1)*4+MID(RIGHT(D192,7),6,1)*5),11),1))=VALUE(RIGHT(D192,1)),"","오류")),"")</f>
        <v/>
      </c>
      <c r="C192" s="116"/>
      <c r="D192" s="143"/>
      <c r="E192" s="116"/>
      <c r="F192" s="116"/>
      <c r="G192" s="144"/>
      <c r="H192" s="112"/>
      <c r="I192" s="38"/>
      <c r="J192" s="39"/>
      <c r="K192" s="39"/>
      <c r="L192" s="39"/>
      <c r="M192" s="39"/>
      <c r="N192" s="39"/>
      <c r="O192" s="39"/>
      <c r="P192" s="39"/>
      <c r="Q192" s="39"/>
      <c r="R192" s="39"/>
      <c r="S192" s="40"/>
      <c r="T192" s="40"/>
      <c r="U192" s="39"/>
      <c r="V192" s="39"/>
      <c r="W192" s="41"/>
      <c r="X192" s="42"/>
      <c r="Y192" s="145">
        <f>SUM(I192:X193)</f>
        <v>0</v>
      </c>
      <c r="Z192" s="116">
        <f>COUNTIF(I192:X193,"&gt;0")</f>
        <v>0</v>
      </c>
      <c r="AA192" s="112">
        <f t="shared" ref="AA192" si="3737">H192*Y192</f>
        <v>0</v>
      </c>
      <c r="AB192" s="62">
        <f t="shared" ref="AB192" si="3738">IF(AO192&lt;1000, 0, AO192)</f>
        <v>0</v>
      </c>
      <c r="AC192" s="63">
        <f ca="1">IF(IFERROR($AN192&lt;65,FALSE), IF(B192&lt;&gt;"외국인", ROUNDDOWN(AA192*$AH$1%,-1), IF(AND(AM192&lt;&gt;"", ISNUMBER(SEARCH(LEFT(SUBSTITUTE(AM192, "-",""),2), "F2_F5_F6"))), ROUNDDOWN(AA192*$AH$1%,-1), 0)),0)</f>
        <v>0</v>
      </c>
      <c r="AD192" s="64">
        <f t="shared" ref="AD192" si="3739">IF(Z192&gt;=$AJ$1,ROUNDDOWN(AA192*$AH$2%,-1),0)</f>
        <v>0</v>
      </c>
      <c r="AE192" s="112">
        <f t="shared" ref="AE192" ca="1" si="3740">AB192+AC192+AB193+AC193+AD192+AD193</f>
        <v>0</v>
      </c>
      <c r="AF192" s="112">
        <f t="shared" ref="AF192" ca="1" si="3741">AA192-AE192</f>
        <v>0</v>
      </c>
      <c r="AG192" s="116"/>
      <c r="AH192" s="116"/>
      <c r="AI192" s="116"/>
      <c r="AJ192" s="116"/>
      <c r="AK192" s="149"/>
      <c r="AL192" s="149"/>
      <c r="AM192" s="115"/>
      <c r="AN192" s="113" t="str">
        <f t="shared" ref="AN192" ca="1" si="3742">IFERROR(DATEDIF(DATE(IF(ISNUMBER(FIND(MID( SUBSTITUTE(D192, "-",""), 7, 1), "3478")), 2000, 1900)+MID(D192,1,2), MID(D192,3,2), MID(D192,5,2)), TODAY(), "Y"),"")</f>
        <v/>
      </c>
      <c r="AO192" s="112">
        <f>ROUNDDOWN(SUM(AP192:BE193),-1)</f>
        <v>0</v>
      </c>
      <c r="AP192" s="11">
        <f t="shared" ref="AP192" si="3743">IF($H192*I192&gt;150000,ROUNDDOWN(($H192*I192-150000)*6%*45%,0),0)</f>
        <v>0</v>
      </c>
      <c r="AQ192" s="12">
        <f t="shared" ref="AQ192" si="3744">IF($H192*J192&gt;150000,ROUNDDOWN(($H192*J192-150000)*6%*45%,0),0)</f>
        <v>0</v>
      </c>
      <c r="AR192" s="12">
        <f t="shared" ref="AR192" si="3745">IF($H192*K192&gt;150000,ROUNDDOWN(($H192*K192-150000)*6%*45%,0),0)</f>
        <v>0</v>
      </c>
      <c r="AS192" s="12">
        <f t="shared" ref="AS192" si="3746">IF($H192*L192&gt;150000,ROUNDDOWN(($H192*L192-150000)*6%*45%,0),0)</f>
        <v>0</v>
      </c>
      <c r="AT192" s="12">
        <f t="shared" ref="AT192" si="3747">IF($H192*M192&gt;150000,ROUNDDOWN(($H192*M192-150000)*6%*45%,0),0)</f>
        <v>0</v>
      </c>
      <c r="AU192" s="12">
        <f t="shared" ref="AU192" si="3748">IF($H192*N192&gt;150000,ROUNDDOWN(($H192*N192-150000)*6%*45%,0),0)</f>
        <v>0</v>
      </c>
      <c r="AV192" s="12">
        <f t="shared" ref="AV192" si="3749">IF($H192*O192&gt;150000,ROUNDDOWN(($H192*O192-150000)*6%*45%,0),0)</f>
        <v>0</v>
      </c>
      <c r="AW192" s="12">
        <f t="shared" ref="AW192" si="3750">IF($H192*P192&gt;150000,ROUNDDOWN(($H192*P192-150000)*6%*45%,0),0)</f>
        <v>0</v>
      </c>
      <c r="AX192" s="12">
        <f t="shared" ref="AX192" si="3751">IF($H192*Q192&gt;150000,ROUNDDOWN(($H192*Q192-150000)*6%*45%,0),0)</f>
        <v>0</v>
      </c>
      <c r="AY192" s="12">
        <f t="shared" ref="AY192" si="3752">IF($H192*R192&gt;150000,ROUNDDOWN(($H192*R192-150000)*6%*45%,0),0)</f>
        <v>0</v>
      </c>
      <c r="AZ192" s="12">
        <f t="shared" ref="AZ192" si="3753">IF($H192*S192&gt;150000,ROUNDDOWN(($H192*S192-150000)*6%*45%,0),0)</f>
        <v>0</v>
      </c>
      <c r="BA192" s="12">
        <f t="shared" ref="BA192" si="3754">IF($H192*T192&gt;150000,ROUNDDOWN(($H192*T192-150000)*6%*45%,0),0)</f>
        <v>0</v>
      </c>
      <c r="BB192" s="12">
        <f t="shared" ref="BB192" si="3755">IF($H192*U192&gt;150000,ROUNDDOWN(($H192*U192-150000)*6%*45%,0),0)</f>
        <v>0</v>
      </c>
      <c r="BC192" s="12">
        <f t="shared" ref="BC192" si="3756">IF($H192*V192&gt;150000,ROUNDDOWN(($H192*V192-150000)*6%*45%,0),0)</f>
        <v>0</v>
      </c>
      <c r="BD192" s="13">
        <f t="shared" ref="BD192" si="3757">IF($H192*W192&gt;150000,ROUNDDOWN(($H192*W192-150000)*6%*45%,0),0)</f>
        <v>0</v>
      </c>
      <c r="BE192" s="14"/>
    </row>
    <row r="193" spans="1:58" x14ac:dyDescent="0.3">
      <c r="A193" s="142"/>
      <c r="B193" s="116"/>
      <c r="C193" s="116"/>
      <c r="D193" s="143"/>
      <c r="E193" s="116"/>
      <c r="F193" s="116"/>
      <c r="G193" s="144"/>
      <c r="H193" s="112"/>
      <c r="I193" s="43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5"/>
      <c r="Y193" s="145"/>
      <c r="Z193" s="116"/>
      <c r="AA193" s="112"/>
      <c r="AB193" s="65">
        <f t="shared" ref="AB193" si="3758">ROUNDDOWN(AB192*10%,-1)</f>
        <v>0</v>
      </c>
      <c r="AC193" s="66">
        <f t="shared" ref="AC193" ca="1" si="3759">IFERROR(IF(AND( OR(COUNTIF(I192:X193, "&gt;0")&gt;=$AJ$1, AA192&gt;=$AJ$4),AN192&lt;60,AA192&lt;=$AH$5),ROUNDDOWN(ROUNDDOWN(AA192,-3)*$AH$4%,-1),IF(AND(COUNTIF(I192:X193,"&gt;0")&gt;=$AJ$1,AN192&lt;60,AA192&gt;$AH$5),$AJ$5,0)),0)</f>
        <v>0</v>
      </c>
      <c r="AD193" s="67">
        <f t="shared" ref="AD193" si="3760">IF(Z192&gt;=$AJ$1,ROUNDDOWN(AD192*$AH$3%/($AH$2*2%),-1),0)</f>
        <v>0</v>
      </c>
      <c r="AE193" s="112"/>
      <c r="AF193" s="112"/>
      <c r="AG193" s="116"/>
      <c r="AH193" s="116"/>
      <c r="AI193" s="116"/>
      <c r="AJ193" s="116"/>
      <c r="AK193" s="149"/>
      <c r="AL193" s="149"/>
      <c r="AM193" s="115"/>
      <c r="AN193" s="113"/>
      <c r="AO193" s="112"/>
      <c r="AP193" s="15">
        <f t="shared" ref="AP193" si="3761">IF($H192*I193&gt;150000,ROUNDDOWN(($H192*I193-150000)*6%*45%,0),0)</f>
        <v>0</v>
      </c>
      <c r="AQ193" s="16">
        <f t="shared" ref="AQ193" si="3762">IF($H192*J193&gt;150000,ROUNDDOWN(($H192*J193-150000)*6%*45%,0),0)</f>
        <v>0</v>
      </c>
      <c r="AR193" s="16">
        <f t="shared" ref="AR193" si="3763">IF($H192*K193&gt;150000,ROUNDDOWN(($H192*K193-150000)*6%*45%,0),0)</f>
        <v>0</v>
      </c>
      <c r="AS193" s="16">
        <f t="shared" ref="AS193" si="3764">IF($H192*L193&gt;150000,ROUNDDOWN(($H192*L193-150000)*6%*45%,0),0)</f>
        <v>0</v>
      </c>
      <c r="AT193" s="16">
        <f t="shared" ref="AT193" si="3765">IF($H192*M193&gt;150000,ROUNDDOWN(($H192*M193-150000)*6%*45%,0),0)</f>
        <v>0</v>
      </c>
      <c r="AU193" s="16">
        <f t="shared" ref="AU193" si="3766">IF($H192*N193&gt;150000,ROUNDDOWN(($H192*N193-150000)*6%*45%,0),0)</f>
        <v>0</v>
      </c>
      <c r="AV193" s="16">
        <f t="shared" ref="AV193" si="3767">IF($H192*O193&gt;150000,ROUNDDOWN(($H192*O193-150000)*6%*45%,0),0)</f>
        <v>0</v>
      </c>
      <c r="AW193" s="16">
        <f t="shared" ref="AW193" si="3768">IF($H192*P193&gt;150000,ROUNDDOWN(($H192*P193-150000)*6%*45%,0),0)</f>
        <v>0</v>
      </c>
      <c r="AX193" s="16">
        <f t="shared" ref="AX193" si="3769">IF($H192*Q193&gt;150000,ROUNDDOWN(($H192*Q193-150000)*6%*45%,0),0)</f>
        <v>0</v>
      </c>
      <c r="AY193" s="16">
        <f t="shared" ref="AY193" si="3770">IF($H192*R193&gt;150000,ROUNDDOWN(($H192*R193-150000)*6%*45%,0),0)</f>
        <v>0</v>
      </c>
      <c r="AZ193" s="16">
        <f t="shared" ref="AZ193" si="3771">IF($H192*S193&gt;150000,ROUNDDOWN(($H192*S193-150000)*6%*45%,0),0)</f>
        <v>0</v>
      </c>
      <c r="BA193" s="16">
        <f t="shared" ref="BA193" si="3772">IF($H192*T193&gt;150000,ROUNDDOWN(($H192*T193-150000)*6%*45%,0),0)</f>
        <v>0</v>
      </c>
      <c r="BB193" s="16">
        <f t="shared" ref="BB193" si="3773">IF($H192*U193&gt;150000,ROUNDDOWN(($H192*U193-150000)*6%*45%,0),0)</f>
        <v>0</v>
      </c>
      <c r="BC193" s="16">
        <f t="shared" ref="BC193" si="3774">IF($H192*V193&gt;150000,ROUNDDOWN(($H192*V193-150000)*6%*45%,0),0)</f>
        <v>0</v>
      </c>
      <c r="BD193" s="16">
        <f t="shared" ref="BD193" si="3775">IF($H192*W193&gt;150000,ROUNDDOWN(($H192*W193-150000)*6%*45%,0),0)</f>
        <v>0</v>
      </c>
      <c r="BE193" s="17">
        <f t="shared" ref="BE193" si="3776">IF($H192*X193&gt;150000,ROUNDDOWN(($H192*X193-150000)*6%*45%,0),0)</f>
        <v>0</v>
      </c>
      <c r="BF193" s="28"/>
    </row>
    <row r="194" spans="1:58" x14ac:dyDescent="0.3">
      <c r="A194" s="142">
        <v>94</v>
      </c>
      <c r="B194" s="116" t="str">
        <f t="shared" ref="B194" si="3777">IF(LEN(D194)&gt;1,IF(VALUE(MID(RIGHT(D194,7),1,1))&gt;4,"외국인",IF(VALUE(RIGHT(11-MOD((MID(D194,1,1)*2+MID(D194,2,1)*3+MID(D194,3,1)*4+MID(D194,4,1)*5+MID(D194,5,1)*6+MID(D194,6,1)*7+MID(RIGHT(D194,7),1,1)*8+MID(RIGHT(D194,7),2,1)*9+MID(RIGHT(D194,7),3,1)*2+MID(RIGHT(D194,7),4,1)*3+MID(RIGHT(D194,7),5,1)*4+MID(RIGHT(D194,7),6,1)*5),11),1))=VALUE(RIGHT(D194,1)),"","오류")),"")</f>
        <v/>
      </c>
      <c r="C194" s="116"/>
      <c r="D194" s="143"/>
      <c r="E194" s="116"/>
      <c r="F194" s="116"/>
      <c r="G194" s="144"/>
      <c r="H194" s="112"/>
      <c r="I194" s="38"/>
      <c r="J194" s="39"/>
      <c r="K194" s="39"/>
      <c r="L194" s="39"/>
      <c r="M194" s="39"/>
      <c r="N194" s="39"/>
      <c r="O194" s="39"/>
      <c r="P194" s="39"/>
      <c r="Q194" s="39"/>
      <c r="R194" s="39"/>
      <c r="S194" s="40"/>
      <c r="T194" s="40"/>
      <c r="U194" s="39"/>
      <c r="V194" s="39"/>
      <c r="W194" s="41"/>
      <c r="X194" s="42"/>
      <c r="Y194" s="145">
        <f>SUM(I194:X195)</f>
        <v>0</v>
      </c>
      <c r="Z194" s="116">
        <f>COUNTIF(I194:X195,"&gt;0")</f>
        <v>0</v>
      </c>
      <c r="AA194" s="112">
        <f t="shared" ref="AA194" si="3778">H194*Y194</f>
        <v>0</v>
      </c>
      <c r="AB194" s="62">
        <f t="shared" ref="AB194" si="3779">IF(AO194&lt;1000, 0, AO194)</f>
        <v>0</v>
      </c>
      <c r="AC194" s="63">
        <f ca="1">IF(IFERROR($AN194&lt;65,FALSE), IF(B194&lt;&gt;"외국인", ROUNDDOWN(AA194*$AH$1%,-1), IF(AND(AM194&lt;&gt;"", ISNUMBER(SEARCH(LEFT(SUBSTITUTE(AM194, "-",""),2), "F2_F5_F6"))), ROUNDDOWN(AA194*$AH$1%,-1), 0)),0)</f>
        <v>0</v>
      </c>
      <c r="AD194" s="64">
        <f t="shared" ref="AD194" si="3780">IF(Z194&gt;=$AJ$1,ROUNDDOWN(AA194*$AH$2%,-1),0)</f>
        <v>0</v>
      </c>
      <c r="AE194" s="112">
        <f t="shared" ref="AE194" ca="1" si="3781">AB194+AC194+AB195+AC195+AD194+AD195</f>
        <v>0</v>
      </c>
      <c r="AF194" s="112">
        <f t="shared" ref="AF194" ca="1" si="3782">AA194-AE194</f>
        <v>0</v>
      </c>
      <c r="AG194" s="116"/>
      <c r="AH194" s="116"/>
      <c r="AI194" s="116"/>
      <c r="AJ194" s="116"/>
      <c r="AK194" s="149"/>
      <c r="AL194" s="149"/>
      <c r="AM194" s="115"/>
      <c r="AN194" s="113" t="str">
        <f t="shared" ref="AN194" ca="1" si="3783">IFERROR(DATEDIF(DATE(IF(ISNUMBER(FIND(MID( SUBSTITUTE(D194, "-",""), 7, 1), "3478")), 2000, 1900)+MID(D194,1,2), MID(D194,3,2), MID(D194,5,2)), TODAY(), "Y"),"")</f>
        <v/>
      </c>
      <c r="AO194" s="112">
        <f>ROUNDDOWN(SUM(AP194:BE195),-1)</f>
        <v>0</v>
      </c>
      <c r="AP194" s="11">
        <f t="shared" ref="AP194" si="3784">IF($H194*I194&gt;150000,ROUNDDOWN(($H194*I194-150000)*6%*45%,0),0)</f>
        <v>0</v>
      </c>
      <c r="AQ194" s="12">
        <f t="shared" ref="AQ194" si="3785">IF($H194*J194&gt;150000,ROUNDDOWN(($H194*J194-150000)*6%*45%,0),0)</f>
        <v>0</v>
      </c>
      <c r="AR194" s="12">
        <f t="shared" ref="AR194" si="3786">IF($H194*K194&gt;150000,ROUNDDOWN(($H194*K194-150000)*6%*45%,0),0)</f>
        <v>0</v>
      </c>
      <c r="AS194" s="12">
        <f t="shared" ref="AS194" si="3787">IF($H194*L194&gt;150000,ROUNDDOWN(($H194*L194-150000)*6%*45%,0),0)</f>
        <v>0</v>
      </c>
      <c r="AT194" s="12">
        <f t="shared" ref="AT194" si="3788">IF($H194*M194&gt;150000,ROUNDDOWN(($H194*M194-150000)*6%*45%,0),0)</f>
        <v>0</v>
      </c>
      <c r="AU194" s="12">
        <f t="shared" ref="AU194" si="3789">IF($H194*N194&gt;150000,ROUNDDOWN(($H194*N194-150000)*6%*45%,0),0)</f>
        <v>0</v>
      </c>
      <c r="AV194" s="12">
        <f t="shared" ref="AV194" si="3790">IF($H194*O194&gt;150000,ROUNDDOWN(($H194*O194-150000)*6%*45%,0),0)</f>
        <v>0</v>
      </c>
      <c r="AW194" s="12">
        <f t="shared" ref="AW194" si="3791">IF($H194*P194&gt;150000,ROUNDDOWN(($H194*P194-150000)*6%*45%,0),0)</f>
        <v>0</v>
      </c>
      <c r="AX194" s="12">
        <f t="shared" ref="AX194" si="3792">IF($H194*Q194&gt;150000,ROUNDDOWN(($H194*Q194-150000)*6%*45%,0),0)</f>
        <v>0</v>
      </c>
      <c r="AY194" s="12">
        <f t="shared" ref="AY194" si="3793">IF($H194*R194&gt;150000,ROUNDDOWN(($H194*R194-150000)*6%*45%,0),0)</f>
        <v>0</v>
      </c>
      <c r="AZ194" s="12">
        <f t="shared" ref="AZ194" si="3794">IF($H194*S194&gt;150000,ROUNDDOWN(($H194*S194-150000)*6%*45%,0),0)</f>
        <v>0</v>
      </c>
      <c r="BA194" s="12">
        <f t="shared" ref="BA194" si="3795">IF($H194*T194&gt;150000,ROUNDDOWN(($H194*T194-150000)*6%*45%,0),0)</f>
        <v>0</v>
      </c>
      <c r="BB194" s="12">
        <f t="shared" ref="BB194" si="3796">IF($H194*U194&gt;150000,ROUNDDOWN(($H194*U194-150000)*6%*45%,0),0)</f>
        <v>0</v>
      </c>
      <c r="BC194" s="12">
        <f t="shared" ref="BC194" si="3797">IF($H194*V194&gt;150000,ROUNDDOWN(($H194*V194-150000)*6%*45%,0),0)</f>
        <v>0</v>
      </c>
      <c r="BD194" s="13">
        <f t="shared" ref="BD194" si="3798">IF($H194*W194&gt;150000,ROUNDDOWN(($H194*W194-150000)*6%*45%,0),0)</f>
        <v>0</v>
      </c>
      <c r="BE194" s="14"/>
    </row>
    <row r="195" spans="1:58" x14ac:dyDescent="0.3">
      <c r="A195" s="142"/>
      <c r="B195" s="116"/>
      <c r="C195" s="116"/>
      <c r="D195" s="143"/>
      <c r="E195" s="116"/>
      <c r="F195" s="116"/>
      <c r="G195" s="144"/>
      <c r="H195" s="112"/>
      <c r="I195" s="43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5"/>
      <c r="Y195" s="145"/>
      <c r="Z195" s="116"/>
      <c r="AA195" s="112"/>
      <c r="AB195" s="65">
        <f t="shared" ref="AB195" si="3799">ROUNDDOWN(AB194*10%,-1)</f>
        <v>0</v>
      </c>
      <c r="AC195" s="66">
        <f t="shared" ref="AC195" ca="1" si="3800">IFERROR(IF(AND( OR(COUNTIF(I194:X195, "&gt;0")&gt;=$AJ$1, AA194&gt;=$AJ$4),AN194&lt;60,AA194&lt;=$AH$5),ROUNDDOWN(ROUNDDOWN(AA194,-3)*$AH$4%,-1),IF(AND(COUNTIF(I194:X195,"&gt;0")&gt;=$AJ$1,AN194&lt;60,AA194&gt;$AH$5),$AJ$5,0)),0)</f>
        <v>0</v>
      </c>
      <c r="AD195" s="67">
        <f t="shared" ref="AD195" si="3801">IF(Z194&gt;=$AJ$1,ROUNDDOWN(AD194*$AH$3%/($AH$2*2%),-1),0)</f>
        <v>0</v>
      </c>
      <c r="AE195" s="112"/>
      <c r="AF195" s="112"/>
      <c r="AG195" s="116"/>
      <c r="AH195" s="116"/>
      <c r="AI195" s="116"/>
      <c r="AJ195" s="116"/>
      <c r="AK195" s="149"/>
      <c r="AL195" s="149"/>
      <c r="AM195" s="115"/>
      <c r="AN195" s="113"/>
      <c r="AO195" s="112"/>
      <c r="AP195" s="15">
        <f t="shared" ref="AP195" si="3802">IF($H194*I195&gt;150000,ROUNDDOWN(($H194*I195-150000)*6%*45%,0),0)</f>
        <v>0</v>
      </c>
      <c r="AQ195" s="16">
        <f t="shared" ref="AQ195" si="3803">IF($H194*J195&gt;150000,ROUNDDOWN(($H194*J195-150000)*6%*45%,0),0)</f>
        <v>0</v>
      </c>
      <c r="AR195" s="16">
        <f t="shared" ref="AR195" si="3804">IF($H194*K195&gt;150000,ROUNDDOWN(($H194*K195-150000)*6%*45%,0),0)</f>
        <v>0</v>
      </c>
      <c r="AS195" s="16">
        <f t="shared" ref="AS195" si="3805">IF($H194*L195&gt;150000,ROUNDDOWN(($H194*L195-150000)*6%*45%,0),0)</f>
        <v>0</v>
      </c>
      <c r="AT195" s="16">
        <f t="shared" ref="AT195" si="3806">IF($H194*M195&gt;150000,ROUNDDOWN(($H194*M195-150000)*6%*45%,0),0)</f>
        <v>0</v>
      </c>
      <c r="AU195" s="16">
        <f t="shared" ref="AU195" si="3807">IF($H194*N195&gt;150000,ROUNDDOWN(($H194*N195-150000)*6%*45%,0),0)</f>
        <v>0</v>
      </c>
      <c r="AV195" s="16">
        <f t="shared" ref="AV195" si="3808">IF($H194*O195&gt;150000,ROUNDDOWN(($H194*O195-150000)*6%*45%,0),0)</f>
        <v>0</v>
      </c>
      <c r="AW195" s="16">
        <f t="shared" ref="AW195" si="3809">IF($H194*P195&gt;150000,ROUNDDOWN(($H194*P195-150000)*6%*45%,0),0)</f>
        <v>0</v>
      </c>
      <c r="AX195" s="16">
        <f t="shared" ref="AX195" si="3810">IF($H194*Q195&gt;150000,ROUNDDOWN(($H194*Q195-150000)*6%*45%,0),0)</f>
        <v>0</v>
      </c>
      <c r="AY195" s="16">
        <f t="shared" ref="AY195" si="3811">IF($H194*R195&gt;150000,ROUNDDOWN(($H194*R195-150000)*6%*45%,0),0)</f>
        <v>0</v>
      </c>
      <c r="AZ195" s="16">
        <f t="shared" ref="AZ195" si="3812">IF($H194*S195&gt;150000,ROUNDDOWN(($H194*S195-150000)*6%*45%,0),0)</f>
        <v>0</v>
      </c>
      <c r="BA195" s="16">
        <f t="shared" ref="BA195" si="3813">IF($H194*T195&gt;150000,ROUNDDOWN(($H194*T195-150000)*6%*45%,0),0)</f>
        <v>0</v>
      </c>
      <c r="BB195" s="16">
        <f t="shared" ref="BB195" si="3814">IF($H194*U195&gt;150000,ROUNDDOWN(($H194*U195-150000)*6%*45%,0),0)</f>
        <v>0</v>
      </c>
      <c r="BC195" s="16">
        <f t="shared" ref="BC195" si="3815">IF($H194*V195&gt;150000,ROUNDDOWN(($H194*V195-150000)*6%*45%,0),0)</f>
        <v>0</v>
      </c>
      <c r="BD195" s="16">
        <f t="shared" ref="BD195" si="3816">IF($H194*W195&gt;150000,ROUNDDOWN(($H194*W195-150000)*6%*45%,0),0)</f>
        <v>0</v>
      </c>
      <c r="BE195" s="17">
        <f t="shared" ref="BE195" si="3817">IF($H194*X195&gt;150000,ROUNDDOWN(($H194*X195-150000)*6%*45%,0),0)</f>
        <v>0</v>
      </c>
      <c r="BF195" s="28"/>
    </row>
    <row r="196" spans="1:58" x14ac:dyDescent="0.3">
      <c r="A196" s="142">
        <v>95</v>
      </c>
      <c r="B196" s="116" t="str">
        <f t="shared" ref="B196" si="3818">IF(LEN(D196)&gt;1,IF(VALUE(MID(RIGHT(D196,7),1,1))&gt;4,"외국인",IF(VALUE(RIGHT(11-MOD((MID(D196,1,1)*2+MID(D196,2,1)*3+MID(D196,3,1)*4+MID(D196,4,1)*5+MID(D196,5,1)*6+MID(D196,6,1)*7+MID(RIGHT(D196,7),1,1)*8+MID(RIGHT(D196,7),2,1)*9+MID(RIGHT(D196,7),3,1)*2+MID(RIGHT(D196,7),4,1)*3+MID(RIGHT(D196,7),5,1)*4+MID(RIGHT(D196,7),6,1)*5),11),1))=VALUE(RIGHT(D196,1)),"","오류")),"")</f>
        <v/>
      </c>
      <c r="C196" s="116"/>
      <c r="D196" s="143"/>
      <c r="E196" s="116"/>
      <c r="F196" s="116"/>
      <c r="G196" s="144"/>
      <c r="H196" s="112"/>
      <c r="I196" s="38"/>
      <c r="J196" s="39"/>
      <c r="K196" s="39"/>
      <c r="L196" s="39"/>
      <c r="M196" s="39"/>
      <c r="N196" s="39"/>
      <c r="O196" s="39"/>
      <c r="P196" s="39"/>
      <c r="Q196" s="39"/>
      <c r="R196" s="39"/>
      <c r="S196" s="40"/>
      <c r="T196" s="40"/>
      <c r="U196" s="39"/>
      <c r="V196" s="39"/>
      <c r="W196" s="41"/>
      <c r="X196" s="42"/>
      <c r="Y196" s="145">
        <f>SUM(I196:X197)</f>
        <v>0</v>
      </c>
      <c r="Z196" s="116">
        <f>COUNTIF(I196:X197,"&gt;0")</f>
        <v>0</v>
      </c>
      <c r="AA196" s="112">
        <f t="shared" ref="AA196" si="3819">H196*Y196</f>
        <v>0</v>
      </c>
      <c r="AB196" s="62">
        <f t="shared" ref="AB196" si="3820">IF(AO196&lt;1000, 0, AO196)</f>
        <v>0</v>
      </c>
      <c r="AC196" s="63">
        <f ca="1">IF(IFERROR($AN196&lt;65,FALSE), IF(B196&lt;&gt;"외국인", ROUNDDOWN(AA196*$AH$1%,-1), IF(AND(AM196&lt;&gt;"", ISNUMBER(SEARCH(LEFT(SUBSTITUTE(AM196, "-",""),2), "F2_F5_F6"))), ROUNDDOWN(AA196*$AH$1%,-1), 0)),0)</f>
        <v>0</v>
      </c>
      <c r="AD196" s="64">
        <f t="shared" ref="AD196" si="3821">IF(Z196&gt;=$AJ$1,ROUNDDOWN(AA196*$AH$2%,-1),0)</f>
        <v>0</v>
      </c>
      <c r="AE196" s="112">
        <f t="shared" ref="AE196" ca="1" si="3822">AB196+AC196+AB197+AC197+AD196+AD197</f>
        <v>0</v>
      </c>
      <c r="AF196" s="112">
        <f t="shared" ref="AF196" ca="1" si="3823">AA196-AE196</f>
        <v>0</v>
      </c>
      <c r="AG196" s="116"/>
      <c r="AH196" s="116"/>
      <c r="AI196" s="116"/>
      <c r="AJ196" s="116"/>
      <c r="AK196" s="149"/>
      <c r="AL196" s="149"/>
      <c r="AM196" s="115"/>
      <c r="AN196" s="113" t="str">
        <f t="shared" ref="AN196" ca="1" si="3824">IFERROR(DATEDIF(DATE(IF(ISNUMBER(FIND(MID( SUBSTITUTE(D196, "-",""), 7, 1), "3478")), 2000, 1900)+MID(D196,1,2), MID(D196,3,2), MID(D196,5,2)), TODAY(), "Y"),"")</f>
        <v/>
      </c>
      <c r="AO196" s="112">
        <f>ROUNDDOWN(SUM(AP196:BE197),-1)</f>
        <v>0</v>
      </c>
      <c r="AP196" s="11">
        <f t="shared" ref="AP196" si="3825">IF($H196*I196&gt;150000,ROUNDDOWN(($H196*I196-150000)*6%*45%,0),0)</f>
        <v>0</v>
      </c>
      <c r="AQ196" s="12">
        <f t="shared" ref="AQ196" si="3826">IF($H196*J196&gt;150000,ROUNDDOWN(($H196*J196-150000)*6%*45%,0),0)</f>
        <v>0</v>
      </c>
      <c r="AR196" s="12">
        <f t="shared" ref="AR196" si="3827">IF($H196*K196&gt;150000,ROUNDDOWN(($H196*K196-150000)*6%*45%,0),0)</f>
        <v>0</v>
      </c>
      <c r="AS196" s="12">
        <f t="shared" ref="AS196" si="3828">IF($H196*L196&gt;150000,ROUNDDOWN(($H196*L196-150000)*6%*45%,0),0)</f>
        <v>0</v>
      </c>
      <c r="AT196" s="12">
        <f t="shared" ref="AT196" si="3829">IF($H196*M196&gt;150000,ROUNDDOWN(($H196*M196-150000)*6%*45%,0),0)</f>
        <v>0</v>
      </c>
      <c r="AU196" s="12">
        <f t="shared" ref="AU196" si="3830">IF($H196*N196&gt;150000,ROUNDDOWN(($H196*N196-150000)*6%*45%,0),0)</f>
        <v>0</v>
      </c>
      <c r="AV196" s="12">
        <f t="shared" ref="AV196" si="3831">IF($H196*O196&gt;150000,ROUNDDOWN(($H196*O196-150000)*6%*45%,0),0)</f>
        <v>0</v>
      </c>
      <c r="AW196" s="12">
        <f t="shared" ref="AW196" si="3832">IF($H196*P196&gt;150000,ROUNDDOWN(($H196*P196-150000)*6%*45%,0),0)</f>
        <v>0</v>
      </c>
      <c r="AX196" s="12">
        <f t="shared" ref="AX196" si="3833">IF($H196*Q196&gt;150000,ROUNDDOWN(($H196*Q196-150000)*6%*45%,0),0)</f>
        <v>0</v>
      </c>
      <c r="AY196" s="12">
        <f t="shared" ref="AY196" si="3834">IF($H196*R196&gt;150000,ROUNDDOWN(($H196*R196-150000)*6%*45%,0),0)</f>
        <v>0</v>
      </c>
      <c r="AZ196" s="12">
        <f t="shared" ref="AZ196" si="3835">IF($H196*S196&gt;150000,ROUNDDOWN(($H196*S196-150000)*6%*45%,0),0)</f>
        <v>0</v>
      </c>
      <c r="BA196" s="12">
        <f t="shared" ref="BA196" si="3836">IF($H196*T196&gt;150000,ROUNDDOWN(($H196*T196-150000)*6%*45%,0),0)</f>
        <v>0</v>
      </c>
      <c r="BB196" s="12">
        <f t="shared" ref="BB196" si="3837">IF($H196*U196&gt;150000,ROUNDDOWN(($H196*U196-150000)*6%*45%,0),0)</f>
        <v>0</v>
      </c>
      <c r="BC196" s="12">
        <f t="shared" ref="BC196" si="3838">IF($H196*V196&gt;150000,ROUNDDOWN(($H196*V196-150000)*6%*45%,0),0)</f>
        <v>0</v>
      </c>
      <c r="BD196" s="13">
        <f t="shared" ref="BD196" si="3839">IF($H196*W196&gt;150000,ROUNDDOWN(($H196*W196-150000)*6%*45%,0),0)</f>
        <v>0</v>
      </c>
      <c r="BE196" s="14"/>
    </row>
    <row r="197" spans="1:58" x14ac:dyDescent="0.3">
      <c r="A197" s="142"/>
      <c r="B197" s="116"/>
      <c r="C197" s="116"/>
      <c r="D197" s="143"/>
      <c r="E197" s="116"/>
      <c r="F197" s="116"/>
      <c r="G197" s="144"/>
      <c r="H197" s="112"/>
      <c r="I197" s="43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5"/>
      <c r="Y197" s="145"/>
      <c r="Z197" s="116"/>
      <c r="AA197" s="112"/>
      <c r="AB197" s="65">
        <f t="shared" ref="AB197" si="3840">ROUNDDOWN(AB196*10%,-1)</f>
        <v>0</v>
      </c>
      <c r="AC197" s="66">
        <f t="shared" ref="AC197" ca="1" si="3841">IFERROR(IF(AND( OR(COUNTIF(I196:X197, "&gt;0")&gt;=$AJ$1, AA196&gt;=$AJ$4),AN196&lt;60,AA196&lt;=$AH$5),ROUNDDOWN(ROUNDDOWN(AA196,-3)*$AH$4%,-1),IF(AND(COUNTIF(I196:X197,"&gt;0")&gt;=$AJ$1,AN196&lt;60,AA196&gt;$AH$5),$AJ$5,0)),0)</f>
        <v>0</v>
      </c>
      <c r="AD197" s="67">
        <f t="shared" ref="AD197" si="3842">IF(Z196&gt;=$AJ$1,ROUNDDOWN(AD196*$AH$3%/($AH$2*2%),-1),0)</f>
        <v>0</v>
      </c>
      <c r="AE197" s="112"/>
      <c r="AF197" s="112"/>
      <c r="AG197" s="116"/>
      <c r="AH197" s="116"/>
      <c r="AI197" s="116"/>
      <c r="AJ197" s="116"/>
      <c r="AK197" s="149"/>
      <c r="AL197" s="149"/>
      <c r="AM197" s="115"/>
      <c r="AN197" s="113"/>
      <c r="AO197" s="112"/>
      <c r="AP197" s="15">
        <f t="shared" ref="AP197" si="3843">IF($H196*I197&gt;150000,ROUNDDOWN(($H196*I197-150000)*6%*45%,0),0)</f>
        <v>0</v>
      </c>
      <c r="AQ197" s="16">
        <f t="shared" ref="AQ197" si="3844">IF($H196*J197&gt;150000,ROUNDDOWN(($H196*J197-150000)*6%*45%,0),0)</f>
        <v>0</v>
      </c>
      <c r="AR197" s="16">
        <f t="shared" ref="AR197" si="3845">IF($H196*K197&gt;150000,ROUNDDOWN(($H196*K197-150000)*6%*45%,0),0)</f>
        <v>0</v>
      </c>
      <c r="AS197" s="16">
        <f t="shared" ref="AS197" si="3846">IF($H196*L197&gt;150000,ROUNDDOWN(($H196*L197-150000)*6%*45%,0),0)</f>
        <v>0</v>
      </c>
      <c r="AT197" s="16">
        <f t="shared" ref="AT197" si="3847">IF($H196*M197&gt;150000,ROUNDDOWN(($H196*M197-150000)*6%*45%,0),0)</f>
        <v>0</v>
      </c>
      <c r="AU197" s="16">
        <f t="shared" ref="AU197" si="3848">IF($H196*N197&gt;150000,ROUNDDOWN(($H196*N197-150000)*6%*45%,0),0)</f>
        <v>0</v>
      </c>
      <c r="AV197" s="16">
        <f t="shared" ref="AV197" si="3849">IF($H196*O197&gt;150000,ROUNDDOWN(($H196*O197-150000)*6%*45%,0),0)</f>
        <v>0</v>
      </c>
      <c r="AW197" s="16">
        <f t="shared" ref="AW197" si="3850">IF($H196*P197&gt;150000,ROUNDDOWN(($H196*P197-150000)*6%*45%,0),0)</f>
        <v>0</v>
      </c>
      <c r="AX197" s="16">
        <f t="shared" ref="AX197" si="3851">IF($H196*Q197&gt;150000,ROUNDDOWN(($H196*Q197-150000)*6%*45%,0),0)</f>
        <v>0</v>
      </c>
      <c r="AY197" s="16">
        <f t="shared" ref="AY197" si="3852">IF($H196*R197&gt;150000,ROUNDDOWN(($H196*R197-150000)*6%*45%,0),0)</f>
        <v>0</v>
      </c>
      <c r="AZ197" s="16">
        <f t="shared" ref="AZ197" si="3853">IF($H196*S197&gt;150000,ROUNDDOWN(($H196*S197-150000)*6%*45%,0),0)</f>
        <v>0</v>
      </c>
      <c r="BA197" s="16">
        <f t="shared" ref="BA197" si="3854">IF($H196*T197&gt;150000,ROUNDDOWN(($H196*T197-150000)*6%*45%,0),0)</f>
        <v>0</v>
      </c>
      <c r="BB197" s="16">
        <f t="shared" ref="BB197" si="3855">IF($H196*U197&gt;150000,ROUNDDOWN(($H196*U197-150000)*6%*45%,0),0)</f>
        <v>0</v>
      </c>
      <c r="BC197" s="16">
        <f t="shared" ref="BC197" si="3856">IF($H196*V197&gt;150000,ROUNDDOWN(($H196*V197-150000)*6%*45%,0),0)</f>
        <v>0</v>
      </c>
      <c r="BD197" s="16">
        <f t="shared" ref="BD197" si="3857">IF($H196*W197&gt;150000,ROUNDDOWN(($H196*W197-150000)*6%*45%,0),0)</f>
        <v>0</v>
      </c>
      <c r="BE197" s="17">
        <f t="shared" ref="BE197" si="3858">IF($H196*X197&gt;150000,ROUNDDOWN(($H196*X197-150000)*6%*45%,0),0)</f>
        <v>0</v>
      </c>
      <c r="BF197" s="28"/>
    </row>
    <row r="198" spans="1:58" x14ac:dyDescent="0.3">
      <c r="A198" s="142">
        <v>96</v>
      </c>
      <c r="B198" s="116" t="str">
        <f t="shared" ref="B198" si="3859">IF(LEN(D198)&gt;1,IF(VALUE(MID(RIGHT(D198,7),1,1))&gt;4,"외국인",IF(VALUE(RIGHT(11-MOD((MID(D198,1,1)*2+MID(D198,2,1)*3+MID(D198,3,1)*4+MID(D198,4,1)*5+MID(D198,5,1)*6+MID(D198,6,1)*7+MID(RIGHT(D198,7),1,1)*8+MID(RIGHT(D198,7),2,1)*9+MID(RIGHT(D198,7),3,1)*2+MID(RIGHT(D198,7),4,1)*3+MID(RIGHT(D198,7),5,1)*4+MID(RIGHT(D198,7),6,1)*5),11),1))=VALUE(RIGHT(D198,1)),"","오류")),"")</f>
        <v/>
      </c>
      <c r="C198" s="116"/>
      <c r="D198" s="143"/>
      <c r="E198" s="116"/>
      <c r="F198" s="116"/>
      <c r="G198" s="144"/>
      <c r="H198" s="112"/>
      <c r="I198" s="38"/>
      <c r="J198" s="39"/>
      <c r="K198" s="39"/>
      <c r="L198" s="39"/>
      <c r="M198" s="39"/>
      <c r="N198" s="39"/>
      <c r="O198" s="39"/>
      <c r="P198" s="39"/>
      <c r="Q198" s="39"/>
      <c r="R198" s="39"/>
      <c r="S198" s="40"/>
      <c r="T198" s="40"/>
      <c r="U198" s="39"/>
      <c r="V198" s="39"/>
      <c r="W198" s="41"/>
      <c r="X198" s="42"/>
      <c r="Y198" s="145">
        <f>SUM(I198:X199)</f>
        <v>0</v>
      </c>
      <c r="Z198" s="116">
        <f>COUNTIF(I198:X199,"&gt;0")</f>
        <v>0</v>
      </c>
      <c r="AA198" s="112">
        <f t="shared" ref="AA198" si="3860">H198*Y198</f>
        <v>0</v>
      </c>
      <c r="AB198" s="62">
        <f t="shared" ref="AB198" si="3861">IF(AO198&lt;1000, 0, AO198)</f>
        <v>0</v>
      </c>
      <c r="AC198" s="63">
        <f ca="1">IF(IFERROR($AN198&lt;65,FALSE), IF(B198&lt;&gt;"외국인", ROUNDDOWN(AA198*$AH$1%,-1), IF(AND(AM198&lt;&gt;"", ISNUMBER(SEARCH(LEFT(SUBSTITUTE(AM198, "-",""),2), "F2_F5_F6"))), ROUNDDOWN(AA198*$AH$1%,-1), 0)),0)</f>
        <v>0</v>
      </c>
      <c r="AD198" s="64">
        <f t="shared" ref="AD198" si="3862">IF(Z198&gt;=$AJ$1,ROUNDDOWN(AA198*$AH$2%,-1),0)</f>
        <v>0</v>
      </c>
      <c r="AE198" s="112">
        <f t="shared" ref="AE198" ca="1" si="3863">AB198+AC198+AB199+AC199+AD198+AD199</f>
        <v>0</v>
      </c>
      <c r="AF198" s="112">
        <f t="shared" ref="AF198" ca="1" si="3864">AA198-AE198</f>
        <v>0</v>
      </c>
      <c r="AG198" s="116"/>
      <c r="AH198" s="116"/>
      <c r="AI198" s="116"/>
      <c r="AJ198" s="116"/>
      <c r="AK198" s="149"/>
      <c r="AL198" s="149"/>
      <c r="AM198" s="115"/>
      <c r="AN198" s="113" t="str">
        <f t="shared" ref="AN198" ca="1" si="3865">IFERROR(DATEDIF(DATE(IF(ISNUMBER(FIND(MID( SUBSTITUTE(D198, "-",""), 7, 1), "3478")), 2000, 1900)+MID(D198,1,2), MID(D198,3,2), MID(D198,5,2)), TODAY(), "Y"),"")</f>
        <v/>
      </c>
      <c r="AO198" s="112">
        <f>ROUNDDOWN(SUM(AP198:BE199),-1)</f>
        <v>0</v>
      </c>
      <c r="AP198" s="11">
        <f t="shared" ref="AP198" si="3866">IF($H198*I198&gt;150000,ROUNDDOWN(($H198*I198-150000)*6%*45%,0),0)</f>
        <v>0</v>
      </c>
      <c r="AQ198" s="12">
        <f t="shared" ref="AQ198" si="3867">IF($H198*J198&gt;150000,ROUNDDOWN(($H198*J198-150000)*6%*45%,0),0)</f>
        <v>0</v>
      </c>
      <c r="AR198" s="12">
        <f t="shared" ref="AR198" si="3868">IF($H198*K198&gt;150000,ROUNDDOWN(($H198*K198-150000)*6%*45%,0),0)</f>
        <v>0</v>
      </c>
      <c r="AS198" s="12">
        <f t="shared" ref="AS198" si="3869">IF($H198*L198&gt;150000,ROUNDDOWN(($H198*L198-150000)*6%*45%,0),0)</f>
        <v>0</v>
      </c>
      <c r="AT198" s="12">
        <f t="shared" ref="AT198" si="3870">IF($H198*M198&gt;150000,ROUNDDOWN(($H198*M198-150000)*6%*45%,0),0)</f>
        <v>0</v>
      </c>
      <c r="AU198" s="12">
        <f t="shared" ref="AU198" si="3871">IF($H198*N198&gt;150000,ROUNDDOWN(($H198*N198-150000)*6%*45%,0),0)</f>
        <v>0</v>
      </c>
      <c r="AV198" s="12">
        <f t="shared" ref="AV198" si="3872">IF($H198*O198&gt;150000,ROUNDDOWN(($H198*O198-150000)*6%*45%,0),0)</f>
        <v>0</v>
      </c>
      <c r="AW198" s="12">
        <f t="shared" ref="AW198" si="3873">IF($H198*P198&gt;150000,ROUNDDOWN(($H198*P198-150000)*6%*45%,0),0)</f>
        <v>0</v>
      </c>
      <c r="AX198" s="12">
        <f t="shared" ref="AX198" si="3874">IF($H198*Q198&gt;150000,ROUNDDOWN(($H198*Q198-150000)*6%*45%,0),0)</f>
        <v>0</v>
      </c>
      <c r="AY198" s="12">
        <f t="shared" ref="AY198" si="3875">IF($H198*R198&gt;150000,ROUNDDOWN(($H198*R198-150000)*6%*45%,0),0)</f>
        <v>0</v>
      </c>
      <c r="AZ198" s="12">
        <f t="shared" ref="AZ198" si="3876">IF($H198*S198&gt;150000,ROUNDDOWN(($H198*S198-150000)*6%*45%,0),0)</f>
        <v>0</v>
      </c>
      <c r="BA198" s="12">
        <f t="shared" ref="BA198" si="3877">IF($H198*T198&gt;150000,ROUNDDOWN(($H198*T198-150000)*6%*45%,0),0)</f>
        <v>0</v>
      </c>
      <c r="BB198" s="12">
        <f t="shared" ref="BB198" si="3878">IF($H198*U198&gt;150000,ROUNDDOWN(($H198*U198-150000)*6%*45%,0),0)</f>
        <v>0</v>
      </c>
      <c r="BC198" s="12">
        <f t="shared" ref="BC198" si="3879">IF($H198*V198&gt;150000,ROUNDDOWN(($H198*V198-150000)*6%*45%,0),0)</f>
        <v>0</v>
      </c>
      <c r="BD198" s="13">
        <f t="shared" ref="BD198" si="3880">IF($H198*W198&gt;150000,ROUNDDOWN(($H198*W198-150000)*6%*45%,0),0)</f>
        <v>0</v>
      </c>
      <c r="BE198" s="14"/>
    </row>
    <row r="199" spans="1:58" x14ac:dyDescent="0.3">
      <c r="A199" s="142"/>
      <c r="B199" s="116"/>
      <c r="C199" s="116"/>
      <c r="D199" s="143"/>
      <c r="E199" s="116"/>
      <c r="F199" s="116"/>
      <c r="G199" s="144"/>
      <c r="H199" s="112"/>
      <c r="I199" s="43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5"/>
      <c r="Y199" s="145"/>
      <c r="Z199" s="116"/>
      <c r="AA199" s="112"/>
      <c r="AB199" s="65">
        <f t="shared" ref="AB199" si="3881">ROUNDDOWN(AB198*10%,-1)</f>
        <v>0</v>
      </c>
      <c r="AC199" s="66">
        <f t="shared" ref="AC199" ca="1" si="3882">IFERROR(IF(AND( OR(COUNTIF(I198:X199, "&gt;0")&gt;=$AJ$1, AA198&gt;=$AJ$4),AN198&lt;60,AA198&lt;=$AH$5),ROUNDDOWN(ROUNDDOWN(AA198,-3)*$AH$4%,-1),IF(AND(COUNTIF(I198:X199,"&gt;0")&gt;=$AJ$1,AN198&lt;60,AA198&gt;$AH$5),$AJ$5,0)),0)</f>
        <v>0</v>
      </c>
      <c r="AD199" s="67">
        <f t="shared" ref="AD199" si="3883">IF(Z198&gt;=$AJ$1,ROUNDDOWN(AD198*$AH$3%/($AH$2*2%),-1),0)</f>
        <v>0</v>
      </c>
      <c r="AE199" s="112"/>
      <c r="AF199" s="112"/>
      <c r="AG199" s="116"/>
      <c r="AH199" s="116"/>
      <c r="AI199" s="116"/>
      <c r="AJ199" s="116"/>
      <c r="AK199" s="149"/>
      <c r="AL199" s="149"/>
      <c r="AM199" s="115"/>
      <c r="AN199" s="113"/>
      <c r="AO199" s="112"/>
      <c r="AP199" s="15">
        <f t="shared" ref="AP199" si="3884">IF($H198*I199&gt;150000,ROUNDDOWN(($H198*I199-150000)*6%*45%,0),0)</f>
        <v>0</v>
      </c>
      <c r="AQ199" s="16">
        <f t="shared" ref="AQ199" si="3885">IF($H198*J199&gt;150000,ROUNDDOWN(($H198*J199-150000)*6%*45%,0),0)</f>
        <v>0</v>
      </c>
      <c r="AR199" s="16">
        <f t="shared" ref="AR199" si="3886">IF($H198*K199&gt;150000,ROUNDDOWN(($H198*K199-150000)*6%*45%,0),0)</f>
        <v>0</v>
      </c>
      <c r="AS199" s="16">
        <f t="shared" ref="AS199" si="3887">IF($H198*L199&gt;150000,ROUNDDOWN(($H198*L199-150000)*6%*45%,0),0)</f>
        <v>0</v>
      </c>
      <c r="AT199" s="16">
        <f t="shared" ref="AT199" si="3888">IF($H198*M199&gt;150000,ROUNDDOWN(($H198*M199-150000)*6%*45%,0),0)</f>
        <v>0</v>
      </c>
      <c r="AU199" s="16">
        <f t="shared" ref="AU199" si="3889">IF($H198*N199&gt;150000,ROUNDDOWN(($H198*N199-150000)*6%*45%,0),0)</f>
        <v>0</v>
      </c>
      <c r="AV199" s="16">
        <f t="shared" ref="AV199" si="3890">IF($H198*O199&gt;150000,ROUNDDOWN(($H198*O199-150000)*6%*45%,0),0)</f>
        <v>0</v>
      </c>
      <c r="AW199" s="16">
        <f t="shared" ref="AW199" si="3891">IF($H198*P199&gt;150000,ROUNDDOWN(($H198*P199-150000)*6%*45%,0),0)</f>
        <v>0</v>
      </c>
      <c r="AX199" s="16">
        <f t="shared" ref="AX199" si="3892">IF($H198*Q199&gt;150000,ROUNDDOWN(($H198*Q199-150000)*6%*45%,0),0)</f>
        <v>0</v>
      </c>
      <c r="AY199" s="16">
        <f t="shared" ref="AY199" si="3893">IF($H198*R199&gt;150000,ROUNDDOWN(($H198*R199-150000)*6%*45%,0),0)</f>
        <v>0</v>
      </c>
      <c r="AZ199" s="16">
        <f t="shared" ref="AZ199" si="3894">IF($H198*S199&gt;150000,ROUNDDOWN(($H198*S199-150000)*6%*45%,0),0)</f>
        <v>0</v>
      </c>
      <c r="BA199" s="16">
        <f t="shared" ref="BA199" si="3895">IF($H198*T199&gt;150000,ROUNDDOWN(($H198*T199-150000)*6%*45%,0),0)</f>
        <v>0</v>
      </c>
      <c r="BB199" s="16">
        <f t="shared" ref="BB199" si="3896">IF($H198*U199&gt;150000,ROUNDDOWN(($H198*U199-150000)*6%*45%,0),0)</f>
        <v>0</v>
      </c>
      <c r="BC199" s="16">
        <f t="shared" ref="BC199" si="3897">IF($H198*V199&gt;150000,ROUNDDOWN(($H198*V199-150000)*6%*45%,0),0)</f>
        <v>0</v>
      </c>
      <c r="BD199" s="16">
        <f t="shared" ref="BD199" si="3898">IF($H198*W199&gt;150000,ROUNDDOWN(($H198*W199-150000)*6%*45%,0),0)</f>
        <v>0</v>
      </c>
      <c r="BE199" s="17">
        <f t="shared" ref="BE199" si="3899">IF($H198*X199&gt;150000,ROUNDDOWN(($H198*X199-150000)*6%*45%,0),0)</f>
        <v>0</v>
      </c>
      <c r="BF199" s="28"/>
    </row>
    <row r="200" spans="1:58" x14ac:dyDescent="0.3">
      <c r="A200" s="142">
        <v>97</v>
      </c>
      <c r="B200" s="116" t="str">
        <f t="shared" ref="B200" si="3900">IF(LEN(D200)&gt;1,IF(VALUE(MID(RIGHT(D200,7),1,1))&gt;4,"외국인",IF(VALUE(RIGHT(11-MOD((MID(D200,1,1)*2+MID(D200,2,1)*3+MID(D200,3,1)*4+MID(D200,4,1)*5+MID(D200,5,1)*6+MID(D200,6,1)*7+MID(RIGHT(D200,7),1,1)*8+MID(RIGHT(D200,7),2,1)*9+MID(RIGHT(D200,7),3,1)*2+MID(RIGHT(D200,7),4,1)*3+MID(RIGHT(D200,7),5,1)*4+MID(RIGHT(D200,7),6,1)*5),11),1))=VALUE(RIGHT(D200,1)),"","오류")),"")</f>
        <v/>
      </c>
      <c r="C200" s="116"/>
      <c r="D200" s="143"/>
      <c r="E200" s="116"/>
      <c r="F200" s="116"/>
      <c r="G200" s="144"/>
      <c r="H200" s="112"/>
      <c r="I200" s="38"/>
      <c r="J200" s="39"/>
      <c r="K200" s="39"/>
      <c r="L200" s="39"/>
      <c r="M200" s="39"/>
      <c r="N200" s="39"/>
      <c r="O200" s="39"/>
      <c r="P200" s="39"/>
      <c r="Q200" s="39"/>
      <c r="R200" s="39"/>
      <c r="S200" s="40"/>
      <c r="T200" s="40"/>
      <c r="U200" s="39"/>
      <c r="V200" s="39"/>
      <c r="W200" s="41"/>
      <c r="X200" s="42"/>
      <c r="Y200" s="145">
        <f>SUM(I200:X201)</f>
        <v>0</v>
      </c>
      <c r="Z200" s="116">
        <f>COUNTIF(I200:X201,"&gt;0")</f>
        <v>0</v>
      </c>
      <c r="AA200" s="112">
        <f t="shared" ref="AA200" si="3901">H200*Y200</f>
        <v>0</v>
      </c>
      <c r="AB200" s="62">
        <f t="shared" ref="AB200" si="3902">IF(AO200&lt;1000, 0, AO200)</f>
        <v>0</v>
      </c>
      <c r="AC200" s="63">
        <f ca="1">IF(IFERROR($AN200&lt;65,FALSE), IF(B200&lt;&gt;"외국인", ROUNDDOWN(AA200*$AH$1%,-1), IF(AND(AM200&lt;&gt;"", ISNUMBER(SEARCH(LEFT(SUBSTITUTE(AM200, "-",""),2), "F2_F5_F6"))), ROUNDDOWN(AA200*$AH$1%,-1), 0)),0)</f>
        <v>0</v>
      </c>
      <c r="AD200" s="64">
        <f t="shared" ref="AD200" si="3903">IF(Z200&gt;=$AJ$1,ROUNDDOWN(AA200*$AH$2%,-1),0)</f>
        <v>0</v>
      </c>
      <c r="AE200" s="112">
        <f t="shared" ref="AE200" ca="1" si="3904">AB200+AC200+AB201+AC201+AD200+AD201</f>
        <v>0</v>
      </c>
      <c r="AF200" s="112">
        <f t="shared" ref="AF200" ca="1" si="3905">AA200-AE200</f>
        <v>0</v>
      </c>
      <c r="AG200" s="116"/>
      <c r="AH200" s="116"/>
      <c r="AI200" s="116"/>
      <c r="AJ200" s="116"/>
      <c r="AK200" s="149"/>
      <c r="AL200" s="149"/>
      <c r="AM200" s="115"/>
      <c r="AN200" s="113" t="str">
        <f t="shared" ref="AN200" ca="1" si="3906">IFERROR(DATEDIF(DATE(IF(ISNUMBER(FIND(MID( SUBSTITUTE(D200, "-",""), 7, 1), "3478")), 2000, 1900)+MID(D200,1,2), MID(D200,3,2), MID(D200,5,2)), TODAY(), "Y"),"")</f>
        <v/>
      </c>
      <c r="AO200" s="112">
        <f>ROUNDDOWN(SUM(AP200:BE201),-1)</f>
        <v>0</v>
      </c>
      <c r="AP200" s="11">
        <f t="shared" ref="AP200" si="3907">IF($H200*I200&gt;150000,ROUNDDOWN(($H200*I200-150000)*6%*45%,0),0)</f>
        <v>0</v>
      </c>
      <c r="AQ200" s="12">
        <f t="shared" ref="AQ200" si="3908">IF($H200*J200&gt;150000,ROUNDDOWN(($H200*J200-150000)*6%*45%,0),0)</f>
        <v>0</v>
      </c>
      <c r="AR200" s="12">
        <f t="shared" ref="AR200" si="3909">IF($H200*K200&gt;150000,ROUNDDOWN(($H200*K200-150000)*6%*45%,0),0)</f>
        <v>0</v>
      </c>
      <c r="AS200" s="12">
        <f t="shared" ref="AS200" si="3910">IF($H200*L200&gt;150000,ROUNDDOWN(($H200*L200-150000)*6%*45%,0),0)</f>
        <v>0</v>
      </c>
      <c r="AT200" s="12">
        <f t="shared" ref="AT200" si="3911">IF($H200*M200&gt;150000,ROUNDDOWN(($H200*M200-150000)*6%*45%,0),0)</f>
        <v>0</v>
      </c>
      <c r="AU200" s="12">
        <f t="shared" ref="AU200" si="3912">IF($H200*N200&gt;150000,ROUNDDOWN(($H200*N200-150000)*6%*45%,0),0)</f>
        <v>0</v>
      </c>
      <c r="AV200" s="12">
        <f t="shared" ref="AV200" si="3913">IF($H200*O200&gt;150000,ROUNDDOWN(($H200*O200-150000)*6%*45%,0),0)</f>
        <v>0</v>
      </c>
      <c r="AW200" s="12">
        <f t="shared" ref="AW200" si="3914">IF($H200*P200&gt;150000,ROUNDDOWN(($H200*P200-150000)*6%*45%,0),0)</f>
        <v>0</v>
      </c>
      <c r="AX200" s="12">
        <f t="shared" ref="AX200" si="3915">IF($H200*Q200&gt;150000,ROUNDDOWN(($H200*Q200-150000)*6%*45%,0),0)</f>
        <v>0</v>
      </c>
      <c r="AY200" s="12">
        <f t="shared" ref="AY200" si="3916">IF($H200*R200&gt;150000,ROUNDDOWN(($H200*R200-150000)*6%*45%,0),0)</f>
        <v>0</v>
      </c>
      <c r="AZ200" s="12">
        <f t="shared" ref="AZ200" si="3917">IF($H200*S200&gt;150000,ROUNDDOWN(($H200*S200-150000)*6%*45%,0),0)</f>
        <v>0</v>
      </c>
      <c r="BA200" s="12">
        <f t="shared" ref="BA200" si="3918">IF($H200*T200&gt;150000,ROUNDDOWN(($H200*T200-150000)*6%*45%,0),0)</f>
        <v>0</v>
      </c>
      <c r="BB200" s="12">
        <f t="shared" ref="BB200" si="3919">IF($H200*U200&gt;150000,ROUNDDOWN(($H200*U200-150000)*6%*45%,0),0)</f>
        <v>0</v>
      </c>
      <c r="BC200" s="12">
        <f t="shared" ref="BC200" si="3920">IF($H200*V200&gt;150000,ROUNDDOWN(($H200*V200-150000)*6%*45%,0),0)</f>
        <v>0</v>
      </c>
      <c r="BD200" s="13">
        <f t="shared" ref="BD200" si="3921">IF($H200*W200&gt;150000,ROUNDDOWN(($H200*W200-150000)*6%*45%,0),0)</f>
        <v>0</v>
      </c>
      <c r="BE200" s="14"/>
    </row>
    <row r="201" spans="1:58" x14ac:dyDescent="0.3">
      <c r="A201" s="142"/>
      <c r="B201" s="116"/>
      <c r="C201" s="116"/>
      <c r="D201" s="143"/>
      <c r="E201" s="116"/>
      <c r="F201" s="116"/>
      <c r="G201" s="144"/>
      <c r="H201" s="112"/>
      <c r="I201" s="43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5"/>
      <c r="Y201" s="145"/>
      <c r="Z201" s="116"/>
      <c r="AA201" s="112"/>
      <c r="AB201" s="65">
        <f t="shared" ref="AB201" si="3922">ROUNDDOWN(AB200*10%,-1)</f>
        <v>0</v>
      </c>
      <c r="AC201" s="66">
        <f t="shared" ref="AC201" ca="1" si="3923">IFERROR(IF(AND( OR(COUNTIF(I200:X201, "&gt;0")&gt;=$AJ$1, AA200&gt;=$AJ$4),AN200&lt;60,AA200&lt;=$AH$5),ROUNDDOWN(ROUNDDOWN(AA200,-3)*$AH$4%,-1),IF(AND(COUNTIF(I200:X201,"&gt;0")&gt;=$AJ$1,AN200&lt;60,AA200&gt;$AH$5),$AJ$5,0)),0)</f>
        <v>0</v>
      </c>
      <c r="AD201" s="67">
        <f t="shared" ref="AD201" si="3924">IF(Z200&gt;=$AJ$1,ROUNDDOWN(AD200*$AH$3%/($AH$2*2%),-1),0)</f>
        <v>0</v>
      </c>
      <c r="AE201" s="112"/>
      <c r="AF201" s="112"/>
      <c r="AG201" s="116"/>
      <c r="AH201" s="116"/>
      <c r="AI201" s="116"/>
      <c r="AJ201" s="116"/>
      <c r="AK201" s="149"/>
      <c r="AL201" s="149"/>
      <c r="AM201" s="115"/>
      <c r="AN201" s="113"/>
      <c r="AO201" s="112"/>
      <c r="AP201" s="15">
        <f t="shared" ref="AP201" si="3925">IF($H200*I201&gt;150000,ROUNDDOWN(($H200*I201-150000)*6%*45%,0),0)</f>
        <v>0</v>
      </c>
      <c r="AQ201" s="16">
        <f t="shared" ref="AQ201" si="3926">IF($H200*J201&gt;150000,ROUNDDOWN(($H200*J201-150000)*6%*45%,0),0)</f>
        <v>0</v>
      </c>
      <c r="AR201" s="16">
        <f t="shared" ref="AR201" si="3927">IF($H200*K201&gt;150000,ROUNDDOWN(($H200*K201-150000)*6%*45%,0),0)</f>
        <v>0</v>
      </c>
      <c r="AS201" s="16">
        <f t="shared" ref="AS201" si="3928">IF($H200*L201&gt;150000,ROUNDDOWN(($H200*L201-150000)*6%*45%,0),0)</f>
        <v>0</v>
      </c>
      <c r="AT201" s="16">
        <f t="shared" ref="AT201" si="3929">IF($H200*M201&gt;150000,ROUNDDOWN(($H200*M201-150000)*6%*45%,0),0)</f>
        <v>0</v>
      </c>
      <c r="AU201" s="16">
        <f t="shared" ref="AU201" si="3930">IF($H200*N201&gt;150000,ROUNDDOWN(($H200*N201-150000)*6%*45%,0),0)</f>
        <v>0</v>
      </c>
      <c r="AV201" s="16">
        <f t="shared" ref="AV201" si="3931">IF($H200*O201&gt;150000,ROUNDDOWN(($H200*O201-150000)*6%*45%,0),0)</f>
        <v>0</v>
      </c>
      <c r="AW201" s="16">
        <f t="shared" ref="AW201" si="3932">IF($H200*P201&gt;150000,ROUNDDOWN(($H200*P201-150000)*6%*45%,0),0)</f>
        <v>0</v>
      </c>
      <c r="AX201" s="16">
        <f t="shared" ref="AX201" si="3933">IF($H200*Q201&gt;150000,ROUNDDOWN(($H200*Q201-150000)*6%*45%,0),0)</f>
        <v>0</v>
      </c>
      <c r="AY201" s="16">
        <f t="shared" ref="AY201" si="3934">IF($H200*R201&gt;150000,ROUNDDOWN(($H200*R201-150000)*6%*45%,0),0)</f>
        <v>0</v>
      </c>
      <c r="AZ201" s="16">
        <f t="shared" ref="AZ201" si="3935">IF($H200*S201&gt;150000,ROUNDDOWN(($H200*S201-150000)*6%*45%,0),0)</f>
        <v>0</v>
      </c>
      <c r="BA201" s="16">
        <f t="shared" ref="BA201" si="3936">IF($H200*T201&gt;150000,ROUNDDOWN(($H200*T201-150000)*6%*45%,0),0)</f>
        <v>0</v>
      </c>
      <c r="BB201" s="16">
        <f t="shared" ref="BB201" si="3937">IF($H200*U201&gt;150000,ROUNDDOWN(($H200*U201-150000)*6%*45%,0),0)</f>
        <v>0</v>
      </c>
      <c r="BC201" s="16">
        <f t="shared" ref="BC201" si="3938">IF($H200*V201&gt;150000,ROUNDDOWN(($H200*V201-150000)*6%*45%,0),0)</f>
        <v>0</v>
      </c>
      <c r="BD201" s="16">
        <f t="shared" ref="BD201" si="3939">IF($H200*W201&gt;150000,ROUNDDOWN(($H200*W201-150000)*6%*45%,0),0)</f>
        <v>0</v>
      </c>
      <c r="BE201" s="17">
        <f t="shared" ref="BE201" si="3940">IF($H200*X201&gt;150000,ROUNDDOWN(($H200*X201-150000)*6%*45%,0),0)</f>
        <v>0</v>
      </c>
      <c r="BF201" s="28"/>
    </row>
    <row r="202" spans="1:58" x14ac:dyDescent="0.3">
      <c r="A202" s="142">
        <v>98</v>
      </c>
      <c r="B202" s="116" t="str">
        <f t="shared" ref="B202" si="3941">IF(LEN(D202)&gt;1,IF(VALUE(MID(RIGHT(D202,7),1,1))&gt;4,"외국인",IF(VALUE(RIGHT(11-MOD((MID(D202,1,1)*2+MID(D202,2,1)*3+MID(D202,3,1)*4+MID(D202,4,1)*5+MID(D202,5,1)*6+MID(D202,6,1)*7+MID(RIGHT(D202,7),1,1)*8+MID(RIGHT(D202,7),2,1)*9+MID(RIGHT(D202,7),3,1)*2+MID(RIGHT(D202,7),4,1)*3+MID(RIGHT(D202,7),5,1)*4+MID(RIGHT(D202,7),6,1)*5),11),1))=VALUE(RIGHT(D202,1)),"","오류")),"")</f>
        <v/>
      </c>
      <c r="C202" s="116"/>
      <c r="D202" s="143"/>
      <c r="E202" s="116"/>
      <c r="F202" s="116"/>
      <c r="G202" s="144"/>
      <c r="H202" s="112"/>
      <c r="I202" s="38"/>
      <c r="J202" s="39"/>
      <c r="K202" s="39"/>
      <c r="L202" s="39"/>
      <c r="M202" s="39"/>
      <c r="N202" s="39"/>
      <c r="O202" s="39"/>
      <c r="P202" s="39"/>
      <c r="Q202" s="39"/>
      <c r="R202" s="39"/>
      <c r="S202" s="40"/>
      <c r="T202" s="40"/>
      <c r="U202" s="39"/>
      <c r="V202" s="39"/>
      <c r="W202" s="41"/>
      <c r="X202" s="42"/>
      <c r="Y202" s="145">
        <f>SUM(I202:X203)</f>
        <v>0</v>
      </c>
      <c r="Z202" s="116">
        <f>COUNTIF(I202:X203,"&gt;0")</f>
        <v>0</v>
      </c>
      <c r="AA202" s="112">
        <f t="shared" ref="AA202" si="3942">H202*Y202</f>
        <v>0</v>
      </c>
      <c r="AB202" s="62">
        <f t="shared" ref="AB202" si="3943">IF(AO202&lt;1000, 0, AO202)</f>
        <v>0</v>
      </c>
      <c r="AC202" s="63">
        <f ca="1">IF(IFERROR($AN202&lt;65,FALSE), IF(B202&lt;&gt;"외국인", ROUNDDOWN(AA202*$AH$1%,-1), IF(AND(AM202&lt;&gt;"", ISNUMBER(SEARCH(LEFT(SUBSTITUTE(AM202, "-",""),2), "F2_F5_F6"))), ROUNDDOWN(AA202*$AH$1%,-1), 0)),0)</f>
        <v>0</v>
      </c>
      <c r="AD202" s="64">
        <f t="shared" ref="AD202" si="3944">IF(Z202&gt;=$AJ$1,ROUNDDOWN(AA202*$AH$2%,-1),0)</f>
        <v>0</v>
      </c>
      <c r="AE202" s="112">
        <f t="shared" ref="AE202" ca="1" si="3945">AB202+AC202+AB203+AC203+AD202+AD203</f>
        <v>0</v>
      </c>
      <c r="AF202" s="112">
        <f t="shared" ref="AF202" ca="1" si="3946">AA202-AE202</f>
        <v>0</v>
      </c>
      <c r="AG202" s="116"/>
      <c r="AH202" s="116"/>
      <c r="AI202" s="116"/>
      <c r="AJ202" s="116"/>
      <c r="AK202" s="149"/>
      <c r="AL202" s="149"/>
      <c r="AM202" s="115"/>
      <c r="AN202" s="113" t="str">
        <f t="shared" ref="AN202" ca="1" si="3947">IFERROR(DATEDIF(DATE(IF(ISNUMBER(FIND(MID( SUBSTITUTE(D202, "-",""), 7, 1), "3478")), 2000, 1900)+MID(D202,1,2), MID(D202,3,2), MID(D202,5,2)), TODAY(), "Y"),"")</f>
        <v/>
      </c>
      <c r="AO202" s="112">
        <f>ROUNDDOWN(SUM(AP202:BE203),-1)</f>
        <v>0</v>
      </c>
      <c r="AP202" s="11">
        <f t="shared" ref="AP202" si="3948">IF($H202*I202&gt;150000,ROUNDDOWN(($H202*I202-150000)*6%*45%,0),0)</f>
        <v>0</v>
      </c>
      <c r="AQ202" s="12">
        <f t="shared" ref="AQ202" si="3949">IF($H202*J202&gt;150000,ROUNDDOWN(($H202*J202-150000)*6%*45%,0),0)</f>
        <v>0</v>
      </c>
      <c r="AR202" s="12">
        <f t="shared" ref="AR202" si="3950">IF($H202*K202&gt;150000,ROUNDDOWN(($H202*K202-150000)*6%*45%,0),0)</f>
        <v>0</v>
      </c>
      <c r="AS202" s="12">
        <f t="shared" ref="AS202" si="3951">IF($H202*L202&gt;150000,ROUNDDOWN(($H202*L202-150000)*6%*45%,0),0)</f>
        <v>0</v>
      </c>
      <c r="AT202" s="12">
        <f t="shared" ref="AT202" si="3952">IF($H202*M202&gt;150000,ROUNDDOWN(($H202*M202-150000)*6%*45%,0),0)</f>
        <v>0</v>
      </c>
      <c r="AU202" s="12">
        <f t="shared" ref="AU202" si="3953">IF($H202*N202&gt;150000,ROUNDDOWN(($H202*N202-150000)*6%*45%,0),0)</f>
        <v>0</v>
      </c>
      <c r="AV202" s="12">
        <f t="shared" ref="AV202" si="3954">IF($H202*O202&gt;150000,ROUNDDOWN(($H202*O202-150000)*6%*45%,0),0)</f>
        <v>0</v>
      </c>
      <c r="AW202" s="12">
        <f t="shared" ref="AW202" si="3955">IF($H202*P202&gt;150000,ROUNDDOWN(($H202*P202-150000)*6%*45%,0),0)</f>
        <v>0</v>
      </c>
      <c r="AX202" s="12">
        <f t="shared" ref="AX202" si="3956">IF($H202*Q202&gt;150000,ROUNDDOWN(($H202*Q202-150000)*6%*45%,0),0)</f>
        <v>0</v>
      </c>
      <c r="AY202" s="12">
        <f t="shared" ref="AY202" si="3957">IF($H202*R202&gt;150000,ROUNDDOWN(($H202*R202-150000)*6%*45%,0),0)</f>
        <v>0</v>
      </c>
      <c r="AZ202" s="12">
        <f t="shared" ref="AZ202" si="3958">IF($H202*S202&gt;150000,ROUNDDOWN(($H202*S202-150000)*6%*45%,0),0)</f>
        <v>0</v>
      </c>
      <c r="BA202" s="12">
        <f t="shared" ref="BA202" si="3959">IF($H202*T202&gt;150000,ROUNDDOWN(($H202*T202-150000)*6%*45%,0),0)</f>
        <v>0</v>
      </c>
      <c r="BB202" s="12">
        <f t="shared" ref="BB202" si="3960">IF($H202*U202&gt;150000,ROUNDDOWN(($H202*U202-150000)*6%*45%,0),0)</f>
        <v>0</v>
      </c>
      <c r="BC202" s="12">
        <f t="shared" ref="BC202" si="3961">IF($H202*V202&gt;150000,ROUNDDOWN(($H202*V202-150000)*6%*45%,0),0)</f>
        <v>0</v>
      </c>
      <c r="BD202" s="13">
        <f t="shared" ref="BD202" si="3962">IF($H202*W202&gt;150000,ROUNDDOWN(($H202*W202-150000)*6%*45%,0),0)</f>
        <v>0</v>
      </c>
      <c r="BE202" s="14"/>
    </row>
    <row r="203" spans="1:58" x14ac:dyDescent="0.3">
      <c r="A203" s="142"/>
      <c r="B203" s="116"/>
      <c r="C203" s="116"/>
      <c r="D203" s="143"/>
      <c r="E203" s="116"/>
      <c r="F203" s="116"/>
      <c r="G203" s="144"/>
      <c r="H203" s="112"/>
      <c r="I203" s="43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5"/>
      <c r="Y203" s="145"/>
      <c r="Z203" s="116"/>
      <c r="AA203" s="112"/>
      <c r="AB203" s="65">
        <f t="shared" ref="AB203" si="3963">ROUNDDOWN(AB202*10%,-1)</f>
        <v>0</v>
      </c>
      <c r="AC203" s="66">
        <f t="shared" ref="AC203" ca="1" si="3964">IFERROR(IF(AND( OR(COUNTIF(I202:X203, "&gt;0")&gt;=$AJ$1, AA202&gt;=$AJ$4),AN202&lt;60,AA202&lt;=$AH$5),ROUNDDOWN(ROUNDDOWN(AA202,-3)*$AH$4%,-1),IF(AND(COUNTIF(I202:X203,"&gt;0")&gt;=$AJ$1,AN202&lt;60,AA202&gt;$AH$5),$AJ$5,0)),0)</f>
        <v>0</v>
      </c>
      <c r="AD203" s="67">
        <f t="shared" ref="AD203" si="3965">IF(Z202&gt;=$AJ$1,ROUNDDOWN(AD202*$AH$3%/($AH$2*2%),-1),0)</f>
        <v>0</v>
      </c>
      <c r="AE203" s="112"/>
      <c r="AF203" s="112"/>
      <c r="AG203" s="116"/>
      <c r="AH203" s="116"/>
      <c r="AI203" s="116"/>
      <c r="AJ203" s="116"/>
      <c r="AK203" s="149"/>
      <c r="AL203" s="149"/>
      <c r="AM203" s="115"/>
      <c r="AN203" s="113"/>
      <c r="AO203" s="112"/>
      <c r="AP203" s="15">
        <f t="shared" ref="AP203" si="3966">IF($H202*I203&gt;150000,ROUNDDOWN(($H202*I203-150000)*6%*45%,0),0)</f>
        <v>0</v>
      </c>
      <c r="AQ203" s="16">
        <f t="shared" ref="AQ203" si="3967">IF($H202*J203&gt;150000,ROUNDDOWN(($H202*J203-150000)*6%*45%,0),0)</f>
        <v>0</v>
      </c>
      <c r="AR203" s="16">
        <f t="shared" ref="AR203" si="3968">IF($H202*K203&gt;150000,ROUNDDOWN(($H202*K203-150000)*6%*45%,0),0)</f>
        <v>0</v>
      </c>
      <c r="AS203" s="16">
        <f t="shared" ref="AS203" si="3969">IF($H202*L203&gt;150000,ROUNDDOWN(($H202*L203-150000)*6%*45%,0),0)</f>
        <v>0</v>
      </c>
      <c r="AT203" s="16">
        <f t="shared" ref="AT203" si="3970">IF($H202*M203&gt;150000,ROUNDDOWN(($H202*M203-150000)*6%*45%,0),0)</f>
        <v>0</v>
      </c>
      <c r="AU203" s="16">
        <f t="shared" ref="AU203" si="3971">IF($H202*N203&gt;150000,ROUNDDOWN(($H202*N203-150000)*6%*45%,0),0)</f>
        <v>0</v>
      </c>
      <c r="AV203" s="16">
        <f t="shared" ref="AV203" si="3972">IF($H202*O203&gt;150000,ROUNDDOWN(($H202*O203-150000)*6%*45%,0),0)</f>
        <v>0</v>
      </c>
      <c r="AW203" s="16">
        <f t="shared" ref="AW203" si="3973">IF($H202*P203&gt;150000,ROUNDDOWN(($H202*P203-150000)*6%*45%,0),0)</f>
        <v>0</v>
      </c>
      <c r="AX203" s="16">
        <f t="shared" ref="AX203" si="3974">IF($H202*Q203&gt;150000,ROUNDDOWN(($H202*Q203-150000)*6%*45%,0),0)</f>
        <v>0</v>
      </c>
      <c r="AY203" s="16">
        <f t="shared" ref="AY203" si="3975">IF($H202*R203&gt;150000,ROUNDDOWN(($H202*R203-150000)*6%*45%,0),0)</f>
        <v>0</v>
      </c>
      <c r="AZ203" s="16">
        <f t="shared" ref="AZ203" si="3976">IF($H202*S203&gt;150000,ROUNDDOWN(($H202*S203-150000)*6%*45%,0),0)</f>
        <v>0</v>
      </c>
      <c r="BA203" s="16">
        <f t="shared" ref="BA203" si="3977">IF($H202*T203&gt;150000,ROUNDDOWN(($H202*T203-150000)*6%*45%,0),0)</f>
        <v>0</v>
      </c>
      <c r="BB203" s="16">
        <f t="shared" ref="BB203" si="3978">IF($H202*U203&gt;150000,ROUNDDOWN(($H202*U203-150000)*6%*45%,0),0)</f>
        <v>0</v>
      </c>
      <c r="BC203" s="16">
        <f t="shared" ref="BC203" si="3979">IF($H202*V203&gt;150000,ROUNDDOWN(($H202*V203-150000)*6%*45%,0),0)</f>
        <v>0</v>
      </c>
      <c r="BD203" s="16">
        <f t="shared" ref="BD203" si="3980">IF($H202*W203&gt;150000,ROUNDDOWN(($H202*W203-150000)*6%*45%,0),0)</f>
        <v>0</v>
      </c>
      <c r="BE203" s="17">
        <f t="shared" ref="BE203" si="3981">IF($H202*X203&gt;150000,ROUNDDOWN(($H202*X203-150000)*6%*45%,0),0)</f>
        <v>0</v>
      </c>
      <c r="BF203" s="28"/>
    </row>
    <row r="204" spans="1:58" x14ac:dyDescent="0.3">
      <c r="A204" s="142">
        <v>99</v>
      </c>
      <c r="B204" s="116" t="str">
        <f t="shared" ref="B204" si="3982">IF(LEN(D204)&gt;1,IF(VALUE(MID(RIGHT(D204,7),1,1))&gt;4,"외국인",IF(VALUE(RIGHT(11-MOD((MID(D204,1,1)*2+MID(D204,2,1)*3+MID(D204,3,1)*4+MID(D204,4,1)*5+MID(D204,5,1)*6+MID(D204,6,1)*7+MID(RIGHT(D204,7),1,1)*8+MID(RIGHT(D204,7),2,1)*9+MID(RIGHT(D204,7),3,1)*2+MID(RIGHT(D204,7),4,1)*3+MID(RIGHT(D204,7),5,1)*4+MID(RIGHT(D204,7),6,1)*5),11),1))=VALUE(RIGHT(D204,1)),"","오류")),"")</f>
        <v/>
      </c>
      <c r="C204" s="116"/>
      <c r="D204" s="143"/>
      <c r="E204" s="116"/>
      <c r="F204" s="116"/>
      <c r="G204" s="144"/>
      <c r="H204" s="112"/>
      <c r="I204" s="38"/>
      <c r="J204" s="39"/>
      <c r="K204" s="39"/>
      <c r="L204" s="39"/>
      <c r="M204" s="39"/>
      <c r="N204" s="39"/>
      <c r="O204" s="39"/>
      <c r="P204" s="39"/>
      <c r="Q204" s="39"/>
      <c r="R204" s="39"/>
      <c r="S204" s="40"/>
      <c r="T204" s="40"/>
      <c r="U204" s="39"/>
      <c r="V204" s="39"/>
      <c r="W204" s="41"/>
      <c r="X204" s="42"/>
      <c r="Y204" s="145">
        <f>SUM(I204:X205)</f>
        <v>0</v>
      </c>
      <c r="Z204" s="116">
        <f>COUNTIF(I204:X205,"&gt;0")</f>
        <v>0</v>
      </c>
      <c r="AA204" s="112">
        <f t="shared" ref="AA204" si="3983">H204*Y204</f>
        <v>0</v>
      </c>
      <c r="AB204" s="62">
        <f t="shared" ref="AB204" si="3984">IF(AO204&lt;1000, 0, AO204)</f>
        <v>0</v>
      </c>
      <c r="AC204" s="63">
        <f ca="1">IF(IFERROR($AN204&lt;65,FALSE), IF(B204&lt;&gt;"외국인", ROUNDDOWN(AA204*$AH$1%,-1), IF(AND(AM204&lt;&gt;"", ISNUMBER(SEARCH(LEFT(SUBSTITUTE(AM204, "-",""),2), "F2_F5_F6"))), ROUNDDOWN(AA204*$AH$1%,-1), 0)),0)</f>
        <v>0</v>
      </c>
      <c r="AD204" s="64">
        <f t="shared" ref="AD204" si="3985">IF(Z204&gt;=$AJ$1,ROUNDDOWN(AA204*$AH$2%,-1),0)</f>
        <v>0</v>
      </c>
      <c r="AE204" s="112">
        <f t="shared" ref="AE204" ca="1" si="3986">AB204+AC204+AB205+AC205+AD204+AD205</f>
        <v>0</v>
      </c>
      <c r="AF204" s="112">
        <f t="shared" ref="AF204" ca="1" si="3987">AA204-AE204</f>
        <v>0</v>
      </c>
      <c r="AG204" s="116"/>
      <c r="AH204" s="116"/>
      <c r="AI204" s="116"/>
      <c r="AJ204" s="116"/>
      <c r="AK204" s="149"/>
      <c r="AL204" s="149"/>
      <c r="AM204" s="115"/>
      <c r="AN204" s="113" t="str">
        <f t="shared" ref="AN204" ca="1" si="3988">IFERROR(DATEDIF(DATE(IF(ISNUMBER(FIND(MID( SUBSTITUTE(D204, "-",""), 7, 1), "3478")), 2000, 1900)+MID(D204,1,2), MID(D204,3,2), MID(D204,5,2)), TODAY(), "Y"),"")</f>
        <v/>
      </c>
      <c r="AO204" s="112">
        <f>ROUNDDOWN(SUM(AP204:BE205),-1)</f>
        <v>0</v>
      </c>
      <c r="AP204" s="11">
        <f t="shared" ref="AP204" si="3989">IF($H204*I204&gt;150000,ROUNDDOWN(($H204*I204-150000)*6%*45%,0),0)</f>
        <v>0</v>
      </c>
      <c r="AQ204" s="12">
        <f t="shared" ref="AQ204" si="3990">IF($H204*J204&gt;150000,ROUNDDOWN(($H204*J204-150000)*6%*45%,0),0)</f>
        <v>0</v>
      </c>
      <c r="AR204" s="12">
        <f t="shared" ref="AR204" si="3991">IF($H204*K204&gt;150000,ROUNDDOWN(($H204*K204-150000)*6%*45%,0),0)</f>
        <v>0</v>
      </c>
      <c r="AS204" s="12">
        <f t="shared" ref="AS204" si="3992">IF($H204*L204&gt;150000,ROUNDDOWN(($H204*L204-150000)*6%*45%,0),0)</f>
        <v>0</v>
      </c>
      <c r="AT204" s="12">
        <f t="shared" ref="AT204" si="3993">IF($H204*M204&gt;150000,ROUNDDOWN(($H204*M204-150000)*6%*45%,0),0)</f>
        <v>0</v>
      </c>
      <c r="AU204" s="12">
        <f t="shared" ref="AU204" si="3994">IF($H204*N204&gt;150000,ROUNDDOWN(($H204*N204-150000)*6%*45%,0),0)</f>
        <v>0</v>
      </c>
      <c r="AV204" s="12">
        <f t="shared" ref="AV204" si="3995">IF($H204*O204&gt;150000,ROUNDDOWN(($H204*O204-150000)*6%*45%,0),0)</f>
        <v>0</v>
      </c>
      <c r="AW204" s="12">
        <f t="shared" ref="AW204" si="3996">IF($H204*P204&gt;150000,ROUNDDOWN(($H204*P204-150000)*6%*45%,0),0)</f>
        <v>0</v>
      </c>
      <c r="AX204" s="12">
        <f t="shared" ref="AX204" si="3997">IF($H204*Q204&gt;150000,ROUNDDOWN(($H204*Q204-150000)*6%*45%,0),0)</f>
        <v>0</v>
      </c>
      <c r="AY204" s="12">
        <f t="shared" ref="AY204" si="3998">IF($H204*R204&gt;150000,ROUNDDOWN(($H204*R204-150000)*6%*45%,0),0)</f>
        <v>0</v>
      </c>
      <c r="AZ204" s="12">
        <f t="shared" ref="AZ204" si="3999">IF($H204*S204&gt;150000,ROUNDDOWN(($H204*S204-150000)*6%*45%,0),0)</f>
        <v>0</v>
      </c>
      <c r="BA204" s="12">
        <f t="shared" ref="BA204" si="4000">IF($H204*T204&gt;150000,ROUNDDOWN(($H204*T204-150000)*6%*45%,0),0)</f>
        <v>0</v>
      </c>
      <c r="BB204" s="12">
        <f t="shared" ref="BB204" si="4001">IF($H204*U204&gt;150000,ROUNDDOWN(($H204*U204-150000)*6%*45%,0),0)</f>
        <v>0</v>
      </c>
      <c r="BC204" s="12">
        <f t="shared" ref="BC204" si="4002">IF($H204*V204&gt;150000,ROUNDDOWN(($H204*V204-150000)*6%*45%,0),0)</f>
        <v>0</v>
      </c>
      <c r="BD204" s="13">
        <f t="shared" ref="BD204" si="4003">IF($H204*W204&gt;150000,ROUNDDOWN(($H204*W204-150000)*6%*45%,0),0)</f>
        <v>0</v>
      </c>
      <c r="BE204" s="14"/>
    </row>
    <row r="205" spans="1:58" x14ac:dyDescent="0.3">
      <c r="A205" s="142"/>
      <c r="B205" s="116"/>
      <c r="C205" s="116"/>
      <c r="D205" s="143"/>
      <c r="E205" s="116"/>
      <c r="F205" s="116"/>
      <c r="G205" s="144"/>
      <c r="H205" s="112"/>
      <c r="I205" s="43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5"/>
      <c r="Y205" s="145"/>
      <c r="Z205" s="116"/>
      <c r="AA205" s="112"/>
      <c r="AB205" s="65">
        <f t="shared" ref="AB205" si="4004">ROUNDDOWN(AB204*10%,-1)</f>
        <v>0</v>
      </c>
      <c r="AC205" s="66">
        <f t="shared" ref="AC205" ca="1" si="4005">IFERROR(IF(AND( OR(COUNTIF(I204:X205, "&gt;0")&gt;=$AJ$1, AA204&gt;=$AJ$4),AN204&lt;60,AA204&lt;=$AH$5),ROUNDDOWN(ROUNDDOWN(AA204,-3)*$AH$4%,-1),IF(AND(COUNTIF(I204:X205,"&gt;0")&gt;=$AJ$1,AN204&lt;60,AA204&gt;$AH$5),$AJ$5,0)),0)</f>
        <v>0</v>
      </c>
      <c r="AD205" s="67">
        <f t="shared" ref="AD205" si="4006">IF(Z204&gt;=$AJ$1,ROUNDDOWN(AD204*$AH$3%/($AH$2*2%),-1),0)</f>
        <v>0</v>
      </c>
      <c r="AE205" s="112"/>
      <c r="AF205" s="112"/>
      <c r="AG205" s="116"/>
      <c r="AH205" s="116"/>
      <c r="AI205" s="116"/>
      <c r="AJ205" s="116"/>
      <c r="AK205" s="149"/>
      <c r="AL205" s="149"/>
      <c r="AM205" s="115"/>
      <c r="AN205" s="113"/>
      <c r="AO205" s="112"/>
      <c r="AP205" s="15">
        <f t="shared" ref="AP205" si="4007">IF($H204*I205&gt;150000,ROUNDDOWN(($H204*I205-150000)*6%*45%,0),0)</f>
        <v>0</v>
      </c>
      <c r="AQ205" s="16">
        <f t="shared" ref="AQ205" si="4008">IF($H204*J205&gt;150000,ROUNDDOWN(($H204*J205-150000)*6%*45%,0),0)</f>
        <v>0</v>
      </c>
      <c r="AR205" s="16">
        <f t="shared" ref="AR205" si="4009">IF($H204*K205&gt;150000,ROUNDDOWN(($H204*K205-150000)*6%*45%,0),0)</f>
        <v>0</v>
      </c>
      <c r="AS205" s="16">
        <f t="shared" ref="AS205" si="4010">IF($H204*L205&gt;150000,ROUNDDOWN(($H204*L205-150000)*6%*45%,0),0)</f>
        <v>0</v>
      </c>
      <c r="AT205" s="16">
        <f t="shared" ref="AT205" si="4011">IF($H204*M205&gt;150000,ROUNDDOWN(($H204*M205-150000)*6%*45%,0),0)</f>
        <v>0</v>
      </c>
      <c r="AU205" s="16">
        <f t="shared" ref="AU205" si="4012">IF($H204*N205&gt;150000,ROUNDDOWN(($H204*N205-150000)*6%*45%,0),0)</f>
        <v>0</v>
      </c>
      <c r="AV205" s="16">
        <f t="shared" ref="AV205" si="4013">IF($H204*O205&gt;150000,ROUNDDOWN(($H204*O205-150000)*6%*45%,0),0)</f>
        <v>0</v>
      </c>
      <c r="AW205" s="16">
        <f t="shared" ref="AW205" si="4014">IF($H204*P205&gt;150000,ROUNDDOWN(($H204*P205-150000)*6%*45%,0),0)</f>
        <v>0</v>
      </c>
      <c r="AX205" s="16">
        <f t="shared" ref="AX205" si="4015">IF($H204*Q205&gt;150000,ROUNDDOWN(($H204*Q205-150000)*6%*45%,0),0)</f>
        <v>0</v>
      </c>
      <c r="AY205" s="16">
        <f t="shared" ref="AY205" si="4016">IF($H204*R205&gt;150000,ROUNDDOWN(($H204*R205-150000)*6%*45%,0),0)</f>
        <v>0</v>
      </c>
      <c r="AZ205" s="16">
        <f t="shared" ref="AZ205" si="4017">IF($H204*S205&gt;150000,ROUNDDOWN(($H204*S205-150000)*6%*45%,0),0)</f>
        <v>0</v>
      </c>
      <c r="BA205" s="16">
        <f t="shared" ref="BA205" si="4018">IF($H204*T205&gt;150000,ROUNDDOWN(($H204*T205-150000)*6%*45%,0),0)</f>
        <v>0</v>
      </c>
      <c r="BB205" s="16">
        <f t="shared" ref="BB205" si="4019">IF($H204*U205&gt;150000,ROUNDDOWN(($H204*U205-150000)*6%*45%,0),0)</f>
        <v>0</v>
      </c>
      <c r="BC205" s="16">
        <f t="shared" ref="BC205" si="4020">IF($H204*V205&gt;150000,ROUNDDOWN(($H204*V205-150000)*6%*45%,0),0)</f>
        <v>0</v>
      </c>
      <c r="BD205" s="16">
        <f t="shared" ref="BD205" si="4021">IF($H204*W205&gt;150000,ROUNDDOWN(($H204*W205-150000)*6%*45%,0),0)</f>
        <v>0</v>
      </c>
      <c r="BE205" s="17">
        <f t="shared" ref="BE205" si="4022">IF($H204*X205&gt;150000,ROUNDDOWN(($H204*X205-150000)*6%*45%,0),0)</f>
        <v>0</v>
      </c>
      <c r="BF205" s="28"/>
    </row>
    <row r="206" spans="1:58" x14ac:dyDescent="0.3">
      <c r="A206" s="142">
        <v>100</v>
      </c>
      <c r="B206" s="116" t="str">
        <f t="shared" ref="B206" si="4023">IF(LEN(D206)&gt;1,IF(VALUE(MID(RIGHT(D206,7),1,1))&gt;4,"외국인",IF(VALUE(RIGHT(11-MOD((MID(D206,1,1)*2+MID(D206,2,1)*3+MID(D206,3,1)*4+MID(D206,4,1)*5+MID(D206,5,1)*6+MID(D206,6,1)*7+MID(RIGHT(D206,7),1,1)*8+MID(RIGHT(D206,7),2,1)*9+MID(RIGHT(D206,7),3,1)*2+MID(RIGHT(D206,7),4,1)*3+MID(RIGHT(D206,7),5,1)*4+MID(RIGHT(D206,7),6,1)*5),11),1))=VALUE(RIGHT(D206,1)),"","오류")),"")</f>
        <v/>
      </c>
      <c r="C206" s="116"/>
      <c r="D206" s="143"/>
      <c r="E206" s="116"/>
      <c r="F206" s="116"/>
      <c r="G206" s="144"/>
      <c r="H206" s="112"/>
      <c r="I206" s="38"/>
      <c r="J206" s="39"/>
      <c r="K206" s="39"/>
      <c r="L206" s="39"/>
      <c r="M206" s="39"/>
      <c r="N206" s="39"/>
      <c r="O206" s="39"/>
      <c r="P206" s="39"/>
      <c r="Q206" s="39"/>
      <c r="R206" s="39"/>
      <c r="S206" s="40"/>
      <c r="T206" s="40"/>
      <c r="U206" s="39"/>
      <c r="V206" s="39"/>
      <c r="W206" s="41"/>
      <c r="X206" s="42"/>
      <c r="Y206" s="145">
        <f>SUM(I206:X207)</f>
        <v>0</v>
      </c>
      <c r="Z206" s="116">
        <f>COUNTIF(I206:X207,"&gt;0")</f>
        <v>0</v>
      </c>
      <c r="AA206" s="112">
        <f t="shared" ref="AA206" si="4024">H206*Y206</f>
        <v>0</v>
      </c>
      <c r="AB206" s="62">
        <f t="shared" ref="AB206" si="4025">IF(AO206&lt;1000, 0, AO206)</f>
        <v>0</v>
      </c>
      <c r="AC206" s="63">
        <f ca="1">IF(IFERROR($AN206&lt;65,FALSE), IF(B206&lt;&gt;"외국인", ROUNDDOWN(AA206*$AH$1%,-1), IF(AND(AM206&lt;&gt;"", ISNUMBER(SEARCH(LEFT(SUBSTITUTE(AM206, "-",""),2), "F2_F5_F6"))), ROUNDDOWN(AA206*$AH$1%,-1), 0)),0)</f>
        <v>0</v>
      </c>
      <c r="AD206" s="64">
        <f t="shared" ref="AD206" si="4026">IF(Z206&gt;=$AJ$1,ROUNDDOWN(AA206*$AH$2%,-1),0)</f>
        <v>0</v>
      </c>
      <c r="AE206" s="112">
        <f t="shared" ref="AE206" ca="1" si="4027">AB206+AC206+AB207+AC207+AD206+AD207</f>
        <v>0</v>
      </c>
      <c r="AF206" s="112">
        <f t="shared" ref="AF206" ca="1" si="4028">AA206-AE206</f>
        <v>0</v>
      </c>
      <c r="AG206" s="116"/>
      <c r="AH206" s="116"/>
      <c r="AI206" s="116"/>
      <c r="AJ206" s="116"/>
      <c r="AK206" s="149"/>
      <c r="AL206" s="149"/>
      <c r="AM206" s="115"/>
      <c r="AN206" s="113" t="str">
        <f t="shared" ref="AN206" ca="1" si="4029">IFERROR(DATEDIF(DATE(IF(ISNUMBER(FIND(MID( SUBSTITUTE(D206, "-",""), 7, 1), "3478")), 2000, 1900)+MID(D206,1,2), MID(D206,3,2), MID(D206,5,2)), TODAY(), "Y"),"")</f>
        <v/>
      </c>
      <c r="AO206" s="112">
        <f>ROUNDDOWN(SUM(AP206:BE207),-1)</f>
        <v>0</v>
      </c>
      <c r="AP206" s="11">
        <f t="shared" ref="AP206" si="4030">IF($H206*I206&gt;150000,ROUNDDOWN(($H206*I206-150000)*6%*45%,0),0)</f>
        <v>0</v>
      </c>
      <c r="AQ206" s="12">
        <f t="shared" ref="AQ206" si="4031">IF($H206*J206&gt;150000,ROUNDDOWN(($H206*J206-150000)*6%*45%,0),0)</f>
        <v>0</v>
      </c>
      <c r="AR206" s="12">
        <f t="shared" ref="AR206" si="4032">IF($H206*K206&gt;150000,ROUNDDOWN(($H206*K206-150000)*6%*45%,0),0)</f>
        <v>0</v>
      </c>
      <c r="AS206" s="12">
        <f t="shared" ref="AS206" si="4033">IF($H206*L206&gt;150000,ROUNDDOWN(($H206*L206-150000)*6%*45%,0),0)</f>
        <v>0</v>
      </c>
      <c r="AT206" s="12">
        <f t="shared" ref="AT206" si="4034">IF($H206*M206&gt;150000,ROUNDDOWN(($H206*M206-150000)*6%*45%,0),0)</f>
        <v>0</v>
      </c>
      <c r="AU206" s="12">
        <f t="shared" ref="AU206" si="4035">IF($H206*N206&gt;150000,ROUNDDOWN(($H206*N206-150000)*6%*45%,0),0)</f>
        <v>0</v>
      </c>
      <c r="AV206" s="12">
        <f t="shared" ref="AV206" si="4036">IF($H206*O206&gt;150000,ROUNDDOWN(($H206*O206-150000)*6%*45%,0),0)</f>
        <v>0</v>
      </c>
      <c r="AW206" s="12">
        <f t="shared" ref="AW206" si="4037">IF($H206*P206&gt;150000,ROUNDDOWN(($H206*P206-150000)*6%*45%,0),0)</f>
        <v>0</v>
      </c>
      <c r="AX206" s="12">
        <f t="shared" ref="AX206" si="4038">IF($H206*Q206&gt;150000,ROUNDDOWN(($H206*Q206-150000)*6%*45%,0),0)</f>
        <v>0</v>
      </c>
      <c r="AY206" s="12">
        <f t="shared" ref="AY206" si="4039">IF($H206*R206&gt;150000,ROUNDDOWN(($H206*R206-150000)*6%*45%,0),0)</f>
        <v>0</v>
      </c>
      <c r="AZ206" s="12">
        <f t="shared" ref="AZ206" si="4040">IF($H206*S206&gt;150000,ROUNDDOWN(($H206*S206-150000)*6%*45%,0),0)</f>
        <v>0</v>
      </c>
      <c r="BA206" s="12">
        <f t="shared" ref="BA206" si="4041">IF($H206*T206&gt;150000,ROUNDDOWN(($H206*T206-150000)*6%*45%,0),0)</f>
        <v>0</v>
      </c>
      <c r="BB206" s="12">
        <f t="shared" ref="BB206" si="4042">IF($H206*U206&gt;150000,ROUNDDOWN(($H206*U206-150000)*6%*45%,0),0)</f>
        <v>0</v>
      </c>
      <c r="BC206" s="12">
        <f t="shared" ref="BC206" si="4043">IF($H206*V206&gt;150000,ROUNDDOWN(($H206*V206-150000)*6%*45%,0),0)</f>
        <v>0</v>
      </c>
      <c r="BD206" s="13">
        <f t="shared" ref="BD206" si="4044">IF($H206*W206&gt;150000,ROUNDDOWN(($H206*W206-150000)*6%*45%,0),0)</f>
        <v>0</v>
      </c>
      <c r="BE206" s="14"/>
    </row>
    <row r="207" spans="1:58" ht="17.25" thickBot="1" x14ac:dyDescent="0.35">
      <c r="A207" s="150"/>
      <c r="B207" s="151"/>
      <c r="C207" s="151"/>
      <c r="D207" s="152"/>
      <c r="E207" s="151"/>
      <c r="F207" s="151"/>
      <c r="G207" s="153"/>
      <c r="H207" s="154"/>
      <c r="I207" s="46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8"/>
      <c r="Y207" s="155"/>
      <c r="Z207" s="151"/>
      <c r="AA207" s="154"/>
      <c r="AB207" s="68">
        <f t="shared" ref="AB207" si="4045">ROUNDDOWN(AB206*10%,-1)</f>
        <v>0</v>
      </c>
      <c r="AC207" s="69">
        <f t="shared" ref="AC207" ca="1" si="4046">IFERROR(IF(AND( OR(COUNTIF(I206:X207, "&gt;0")&gt;=$AJ$1, AA206&gt;=$AJ$4),AN206&lt;60,AA206&lt;=$AH$5),ROUNDDOWN(ROUNDDOWN(AA206,-3)*$AH$4%,-1),IF(AND(COUNTIF(I206:X207,"&gt;0")&gt;=$AJ$1,AN206&lt;60,AA206&gt;$AH$5),$AJ$5,0)),0)</f>
        <v>0</v>
      </c>
      <c r="AD207" s="70">
        <f t="shared" ref="AD207" si="4047">IF(Z206&gt;=$AJ$1,ROUNDDOWN(AD206*$AH$3%/($AH$2*2%),-1),0)</f>
        <v>0</v>
      </c>
      <c r="AE207" s="154"/>
      <c r="AF207" s="154"/>
      <c r="AG207" s="151"/>
      <c r="AH207" s="151"/>
      <c r="AI207" s="151"/>
      <c r="AJ207" s="151"/>
      <c r="AK207" s="163"/>
      <c r="AL207" s="163"/>
      <c r="AM207" s="162"/>
      <c r="AN207" s="113"/>
      <c r="AO207" s="112"/>
      <c r="AP207" s="15">
        <f t="shared" ref="AP207" si="4048">IF($H206*I207&gt;150000,ROUNDDOWN(($H206*I207-150000)*6%*45%,0),0)</f>
        <v>0</v>
      </c>
      <c r="AQ207" s="16">
        <f t="shared" ref="AQ207" si="4049">IF($H206*J207&gt;150000,ROUNDDOWN(($H206*J207-150000)*6%*45%,0),0)</f>
        <v>0</v>
      </c>
      <c r="AR207" s="16">
        <f t="shared" ref="AR207" si="4050">IF($H206*K207&gt;150000,ROUNDDOWN(($H206*K207-150000)*6%*45%,0),0)</f>
        <v>0</v>
      </c>
      <c r="AS207" s="16">
        <f t="shared" ref="AS207" si="4051">IF($H206*L207&gt;150000,ROUNDDOWN(($H206*L207-150000)*6%*45%,0),0)</f>
        <v>0</v>
      </c>
      <c r="AT207" s="16">
        <f t="shared" ref="AT207" si="4052">IF($H206*M207&gt;150000,ROUNDDOWN(($H206*M207-150000)*6%*45%,0),0)</f>
        <v>0</v>
      </c>
      <c r="AU207" s="16">
        <f t="shared" ref="AU207" si="4053">IF($H206*N207&gt;150000,ROUNDDOWN(($H206*N207-150000)*6%*45%,0),0)</f>
        <v>0</v>
      </c>
      <c r="AV207" s="16">
        <f t="shared" ref="AV207" si="4054">IF($H206*O207&gt;150000,ROUNDDOWN(($H206*O207-150000)*6%*45%,0),0)</f>
        <v>0</v>
      </c>
      <c r="AW207" s="16">
        <f t="shared" ref="AW207" si="4055">IF($H206*P207&gt;150000,ROUNDDOWN(($H206*P207-150000)*6%*45%,0),0)</f>
        <v>0</v>
      </c>
      <c r="AX207" s="16">
        <f t="shared" ref="AX207" si="4056">IF($H206*Q207&gt;150000,ROUNDDOWN(($H206*Q207-150000)*6%*45%,0),0)</f>
        <v>0</v>
      </c>
      <c r="AY207" s="16">
        <f t="shared" ref="AY207" si="4057">IF($H206*R207&gt;150000,ROUNDDOWN(($H206*R207-150000)*6%*45%,0),0)</f>
        <v>0</v>
      </c>
      <c r="AZ207" s="16">
        <f t="shared" ref="AZ207" si="4058">IF($H206*S207&gt;150000,ROUNDDOWN(($H206*S207-150000)*6%*45%,0),0)</f>
        <v>0</v>
      </c>
      <c r="BA207" s="16">
        <f t="shared" ref="BA207" si="4059">IF($H206*T207&gt;150000,ROUNDDOWN(($H206*T207-150000)*6%*45%,0),0)</f>
        <v>0</v>
      </c>
      <c r="BB207" s="16">
        <f t="shared" ref="BB207" si="4060">IF($H206*U207&gt;150000,ROUNDDOWN(($H206*U207-150000)*6%*45%,0),0)</f>
        <v>0</v>
      </c>
      <c r="BC207" s="16">
        <f t="shared" ref="BC207" si="4061">IF($H206*V207&gt;150000,ROUNDDOWN(($H206*V207-150000)*6%*45%,0),0)</f>
        <v>0</v>
      </c>
      <c r="BD207" s="16">
        <f t="shared" ref="BD207" si="4062">IF($H206*W207&gt;150000,ROUNDDOWN(($H206*W207-150000)*6%*45%,0),0)</f>
        <v>0</v>
      </c>
      <c r="BE207" s="17">
        <f t="shared" ref="BE207" si="4063">IF($H206*X207&gt;150000,ROUNDDOWN(($H206*X207-150000)*6%*45%,0),0)</f>
        <v>0</v>
      </c>
      <c r="BF207" s="28"/>
    </row>
    <row r="208" spans="1:58" x14ac:dyDescent="0.3">
      <c r="AK208" s="37"/>
      <c r="AL208" s="37" t="s">
        <v>48</v>
      </c>
      <c r="AM208" s="37"/>
    </row>
  </sheetData>
  <mergeCells count="2250">
    <mergeCell ref="AL190:AL191"/>
    <mergeCell ref="AM190:AM191"/>
    <mergeCell ref="AL192:AL193"/>
    <mergeCell ref="AM192:AM193"/>
    <mergeCell ref="AL194:AL195"/>
    <mergeCell ref="AM194:AM195"/>
    <mergeCell ref="AL196:AL197"/>
    <mergeCell ref="AM196:AM197"/>
    <mergeCell ref="AL198:AL199"/>
    <mergeCell ref="AM198:AM199"/>
    <mergeCell ref="AL200:AL201"/>
    <mergeCell ref="AM200:AM201"/>
    <mergeCell ref="AL202:AL203"/>
    <mergeCell ref="AM202:AM203"/>
    <mergeCell ref="AL204:AL205"/>
    <mergeCell ref="AM204:AM205"/>
    <mergeCell ref="AL206:AL207"/>
    <mergeCell ref="AM206:AM207"/>
    <mergeCell ref="AL170:AL171"/>
    <mergeCell ref="AM170:AM171"/>
    <mergeCell ref="AL172:AL173"/>
    <mergeCell ref="AM172:AM173"/>
    <mergeCell ref="AL174:AL175"/>
    <mergeCell ref="AM174:AM175"/>
    <mergeCell ref="AL176:AL177"/>
    <mergeCell ref="AM176:AM177"/>
    <mergeCell ref="AL178:AL179"/>
    <mergeCell ref="AM178:AM179"/>
    <mergeCell ref="AL180:AL181"/>
    <mergeCell ref="AM180:AM181"/>
    <mergeCell ref="AL182:AL183"/>
    <mergeCell ref="AM182:AM183"/>
    <mergeCell ref="AL184:AL185"/>
    <mergeCell ref="AM184:AM185"/>
    <mergeCell ref="AL186:AL187"/>
    <mergeCell ref="AM186:AM187"/>
    <mergeCell ref="AL150:AL151"/>
    <mergeCell ref="AM150:AM151"/>
    <mergeCell ref="AL152:AL153"/>
    <mergeCell ref="AM152:AM153"/>
    <mergeCell ref="AL154:AL155"/>
    <mergeCell ref="AM154:AM155"/>
    <mergeCell ref="AL156:AL157"/>
    <mergeCell ref="AM156:AM157"/>
    <mergeCell ref="AL158:AL159"/>
    <mergeCell ref="AM158:AM159"/>
    <mergeCell ref="AL160:AL161"/>
    <mergeCell ref="AM160:AM161"/>
    <mergeCell ref="AL162:AL163"/>
    <mergeCell ref="AM162:AM163"/>
    <mergeCell ref="AL164:AL165"/>
    <mergeCell ref="AM164:AM165"/>
    <mergeCell ref="AL166:AL167"/>
    <mergeCell ref="AM166:AM167"/>
    <mergeCell ref="AL130:AL131"/>
    <mergeCell ref="AM130:AM131"/>
    <mergeCell ref="AL132:AL133"/>
    <mergeCell ref="AM132:AM133"/>
    <mergeCell ref="AL134:AL135"/>
    <mergeCell ref="AM134:AM135"/>
    <mergeCell ref="AL136:AL137"/>
    <mergeCell ref="AM136:AM137"/>
    <mergeCell ref="AL138:AL139"/>
    <mergeCell ref="AM138:AM139"/>
    <mergeCell ref="AL140:AL141"/>
    <mergeCell ref="AM140:AM141"/>
    <mergeCell ref="AL142:AL143"/>
    <mergeCell ref="AM142:AM143"/>
    <mergeCell ref="AL144:AL145"/>
    <mergeCell ref="AM144:AM145"/>
    <mergeCell ref="AL146:AL147"/>
    <mergeCell ref="AM146:AM147"/>
    <mergeCell ref="AL110:AL111"/>
    <mergeCell ref="AM110:AM111"/>
    <mergeCell ref="AL112:AL113"/>
    <mergeCell ref="AM112:AM113"/>
    <mergeCell ref="AL114:AL115"/>
    <mergeCell ref="AM114:AM115"/>
    <mergeCell ref="AL116:AL117"/>
    <mergeCell ref="AM116:AM117"/>
    <mergeCell ref="AL118:AL119"/>
    <mergeCell ref="AM118:AM119"/>
    <mergeCell ref="AL120:AL121"/>
    <mergeCell ref="AM120:AM121"/>
    <mergeCell ref="AL122:AL123"/>
    <mergeCell ref="AM122:AM123"/>
    <mergeCell ref="AL124:AL125"/>
    <mergeCell ref="AM124:AM125"/>
    <mergeCell ref="AL126:AL127"/>
    <mergeCell ref="AM126:AM127"/>
    <mergeCell ref="AL90:AL91"/>
    <mergeCell ref="AM90:AM91"/>
    <mergeCell ref="AL92:AL93"/>
    <mergeCell ref="AM92:AM93"/>
    <mergeCell ref="AL94:AL95"/>
    <mergeCell ref="AM94:AM95"/>
    <mergeCell ref="AL96:AL97"/>
    <mergeCell ref="AM96:AM97"/>
    <mergeCell ref="AL98:AL99"/>
    <mergeCell ref="AM98:AM99"/>
    <mergeCell ref="AL100:AL101"/>
    <mergeCell ref="AM100:AM101"/>
    <mergeCell ref="AL102:AL103"/>
    <mergeCell ref="AM102:AM103"/>
    <mergeCell ref="AL104:AL105"/>
    <mergeCell ref="AM104:AM105"/>
    <mergeCell ref="AL106:AL107"/>
    <mergeCell ref="AM106:AM107"/>
    <mergeCell ref="AL70:AL71"/>
    <mergeCell ref="AM70:AM71"/>
    <mergeCell ref="AL72:AL73"/>
    <mergeCell ref="AM72:AM73"/>
    <mergeCell ref="AL74:AL75"/>
    <mergeCell ref="AM74:AM75"/>
    <mergeCell ref="AL76:AL77"/>
    <mergeCell ref="AM76:AM77"/>
    <mergeCell ref="AL78:AL79"/>
    <mergeCell ref="AM78:AM79"/>
    <mergeCell ref="AL80:AL81"/>
    <mergeCell ref="AM80:AM81"/>
    <mergeCell ref="AL82:AL83"/>
    <mergeCell ref="AM82:AM83"/>
    <mergeCell ref="AL84:AL85"/>
    <mergeCell ref="AM84:AM85"/>
    <mergeCell ref="AL86:AL87"/>
    <mergeCell ref="AM86:AM87"/>
    <mergeCell ref="AL50:AL51"/>
    <mergeCell ref="AM50:AM51"/>
    <mergeCell ref="AL52:AL53"/>
    <mergeCell ref="AM52:AM53"/>
    <mergeCell ref="AL54:AL55"/>
    <mergeCell ref="AM54:AM55"/>
    <mergeCell ref="AL56:AL57"/>
    <mergeCell ref="AM56:AM57"/>
    <mergeCell ref="AL58:AL59"/>
    <mergeCell ref="AM58:AM59"/>
    <mergeCell ref="AL60:AL61"/>
    <mergeCell ref="AM60:AM61"/>
    <mergeCell ref="AL62:AL63"/>
    <mergeCell ref="AM62:AM63"/>
    <mergeCell ref="AL64:AL65"/>
    <mergeCell ref="AM64:AM65"/>
    <mergeCell ref="AL66:AL67"/>
    <mergeCell ref="AM66:AM67"/>
    <mergeCell ref="AL32:AL33"/>
    <mergeCell ref="AM32:AM33"/>
    <mergeCell ref="AL34:AL35"/>
    <mergeCell ref="AM34:AM35"/>
    <mergeCell ref="AL36:AL37"/>
    <mergeCell ref="AM36:AM37"/>
    <mergeCell ref="AL38:AL39"/>
    <mergeCell ref="AM38:AM39"/>
    <mergeCell ref="AL40:AL41"/>
    <mergeCell ref="AM40:AM41"/>
    <mergeCell ref="AL42:AL43"/>
    <mergeCell ref="AM42:AM43"/>
    <mergeCell ref="AL44:AL45"/>
    <mergeCell ref="AM44:AM45"/>
    <mergeCell ref="AL46:AL47"/>
    <mergeCell ref="AM46:AM47"/>
    <mergeCell ref="AL48:AL49"/>
    <mergeCell ref="AM48:AM49"/>
    <mergeCell ref="AL14:AL15"/>
    <mergeCell ref="AM14:AM15"/>
    <mergeCell ref="AL16:AL17"/>
    <mergeCell ref="AM16:AM17"/>
    <mergeCell ref="AL18:AL19"/>
    <mergeCell ref="AM18:AM19"/>
    <mergeCell ref="AL20:AL21"/>
    <mergeCell ref="AM20:AM21"/>
    <mergeCell ref="AL22:AL23"/>
    <mergeCell ref="AM22:AM23"/>
    <mergeCell ref="AL24:AL25"/>
    <mergeCell ref="AM24:AM25"/>
    <mergeCell ref="AL26:AL27"/>
    <mergeCell ref="AM26:AM27"/>
    <mergeCell ref="AL28:AL29"/>
    <mergeCell ref="AM28:AM29"/>
    <mergeCell ref="AL30:AL31"/>
    <mergeCell ref="AM30:AM31"/>
    <mergeCell ref="AO206:AO207"/>
    <mergeCell ref="AI206:AI207"/>
    <mergeCell ref="AJ206:AJ207"/>
    <mergeCell ref="AK206:AK207"/>
    <mergeCell ref="AN206:AN207"/>
    <mergeCell ref="AO204:AO205"/>
    <mergeCell ref="A206:A207"/>
    <mergeCell ref="B206:B207"/>
    <mergeCell ref="C206:C207"/>
    <mergeCell ref="D206:D207"/>
    <mergeCell ref="E206:E207"/>
    <mergeCell ref="F206:F207"/>
    <mergeCell ref="G206:G207"/>
    <mergeCell ref="H206:H207"/>
    <mergeCell ref="Y206:Y207"/>
    <mergeCell ref="Z206:Z207"/>
    <mergeCell ref="AA206:AA207"/>
    <mergeCell ref="AE206:AE207"/>
    <mergeCell ref="AF206:AF207"/>
    <mergeCell ref="AG206:AG207"/>
    <mergeCell ref="AH206:AH207"/>
    <mergeCell ref="AI204:AI205"/>
    <mergeCell ref="AJ204:AJ205"/>
    <mergeCell ref="AK204:AK205"/>
    <mergeCell ref="AN204:AN205"/>
    <mergeCell ref="AO202:AO203"/>
    <mergeCell ref="A204:A205"/>
    <mergeCell ref="B204:B205"/>
    <mergeCell ref="C204:C205"/>
    <mergeCell ref="D204:D205"/>
    <mergeCell ref="E204:E205"/>
    <mergeCell ref="F204:F205"/>
    <mergeCell ref="G204:G205"/>
    <mergeCell ref="H204:H205"/>
    <mergeCell ref="Y204:Y205"/>
    <mergeCell ref="Z204:Z205"/>
    <mergeCell ref="AA204:AA205"/>
    <mergeCell ref="AE204:AE205"/>
    <mergeCell ref="AF204:AF205"/>
    <mergeCell ref="AG204:AG205"/>
    <mergeCell ref="AH204:AH205"/>
    <mergeCell ref="AI202:AI203"/>
    <mergeCell ref="AJ202:AJ203"/>
    <mergeCell ref="AK202:AK203"/>
    <mergeCell ref="AN202:AN203"/>
    <mergeCell ref="A202:A203"/>
    <mergeCell ref="B202:B203"/>
    <mergeCell ref="C202:C203"/>
    <mergeCell ref="D202:D203"/>
    <mergeCell ref="E202:E203"/>
    <mergeCell ref="F202:F203"/>
    <mergeCell ref="G202:G203"/>
    <mergeCell ref="H202:H203"/>
    <mergeCell ref="Y202:Y203"/>
    <mergeCell ref="Z202:Z203"/>
    <mergeCell ref="AA202:AA203"/>
    <mergeCell ref="AE202:AE203"/>
    <mergeCell ref="AF202:AF203"/>
    <mergeCell ref="AG202:AG203"/>
    <mergeCell ref="AH202:AH203"/>
    <mergeCell ref="AI200:AI201"/>
    <mergeCell ref="AJ200:AJ201"/>
    <mergeCell ref="AO198:AO199"/>
    <mergeCell ref="A200:A201"/>
    <mergeCell ref="B200:B201"/>
    <mergeCell ref="C200:C201"/>
    <mergeCell ref="D200:D201"/>
    <mergeCell ref="E200:E201"/>
    <mergeCell ref="F200:F201"/>
    <mergeCell ref="G200:G201"/>
    <mergeCell ref="H200:H201"/>
    <mergeCell ref="Y200:Y201"/>
    <mergeCell ref="Z200:Z201"/>
    <mergeCell ref="AA200:AA201"/>
    <mergeCell ref="AE200:AE201"/>
    <mergeCell ref="AF200:AF201"/>
    <mergeCell ref="AG200:AG201"/>
    <mergeCell ref="AH200:AH201"/>
    <mergeCell ref="AI198:AI199"/>
    <mergeCell ref="AJ198:AJ199"/>
    <mergeCell ref="AK198:AK199"/>
    <mergeCell ref="AN198:AN199"/>
    <mergeCell ref="AO200:AO201"/>
    <mergeCell ref="AK200:AK201"/>
    <mergeCell ref="AN200:AN201"/>
    <mergeCell ref="A198:A199"/>
    <mergeCell ref="B198:B199"/>
    <mergeCell ref="C198:C199"/>
    <mergeCell ref="D198:D199"/>
    <mergeCell ref="E198:E199"/>
    <mergeCell ref="F198:F199"/>
    <mergeCell ref="G198:G199"/>
    <mergeCell ref="H198:H199"/>
    <mergeCell ref="Y198:Y199"/>
    <mergeCell ref="Z198:Z199"/>
    <mergeCell ref="AA198:AA199"/>
    <mergeCell ref="AE198:AE199"/>
    <mergeCell ref="AF198:AF199"/>
    <mergeCell ref="AG198:AG199"/>
    <mergeCell ref="AH198:AH199"/>
    <mergeCell ref="AI196:AI197"/>
    <mergeCell ref="AJ196:AJ197"/>
    <mergeCell ref="AO194:AO195"/>
    <mergeCell ref="AK194:AK195"/>
    <mergeCell ref="AN194:AN195"/>
    <mergeCell ref="AO196:AO197"/>
    <mergeCell ref="AK196:AK197"/>
    <mergeCell ref="AN196:AN197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Y196:Y197"/>
    <mergeCell ref="Z196:Z197"/>
    <mergeCell ref="AA196:AA197"/>
    <mergeCell ref="AE196:AE197"/>
    <mergeCell ref="AF196:AF197"/>
    <mergeCell ref="AG196:AG197"/>
    <mergeCell ref="AH196:AH197"/>
    <mergeCell ref="AI194:AI195"/>
    <mergeCell ref="AJ194:AJ195"/>
    <mergeCell ref="A194:A195"/>
    <mergeCell ref="B194:B195"/>
    <mergeCell ref="C194:C195"/>
    <mergeCell ref="D194:D195"/>
    <mergeCell ref="E194:E195"/>
    <mergeCell ref="F194:F195"/>
    <mergeCell ref="G194:G195"/>
    <mergeCell ref="H194:H195"/>
    <mergeCell ref="Y194:Y195"/>
    <mergeCell ref="Z194:Z195"/>
    <mergeCell ref="AA194:AA195"/>
    <mergeCell ref="AE194:AE195"/>
    <mergeCell ref="AF194:AF195"/>
    <mergeCell ref="AG194:AG195"/>
    <mergeCell ref="AH194:AH195"/>
    <mergeCell ref="AI192:AI193"/>
    <mergeCell ref="AJ192:AJ193"/>
    <mergeCell ref="AO190:AO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Y192:Y193"/>
    <mergeCell ref="Z192:Z193"/>
    <mergeCell ref="AA192:AA193"/>
    <mergeCell ref="AE192:AE193"/>
    <mergeCell ref="AF192:AF193"/>
    <mergeCell ref="AG192:AG193"/>
    <mergeCell ref="AH192:AH193"/>
    <mergeCell ref="AI190:AI191"/>
    <mergeCell ref="AJ190:AJ191"/>
    <mergeCell ref="AK190:AK191"/>
    <mergeCell ref="AN190:AN191"/>
    <mergeCell ref="AO192:AO193"/>
    <mergeCell ref="AK192:AK193"/>
    <mergeCell ref="AN192:AN193"/>
    <mergeCell ref="A190:A191"/>
    <mergeCell ref="B190:B191"/>
    <mergeCell ref="C190:C191"/>
    <mergeCell ref="D190:D191"/>
    <mergeCell ref="E190:E191"/>
    <mergeCell ref="F190:F191"/>
    <mergeCell ref="G190:G191"/>
    <mergeCell ref="H190:H191"/>
    <mergeCell ref="Y190:Y191"/>
    <mergeCell ref="Z190:Z191"/>
    <mergeCell ref="AA190:AA191"/>
    <mergeCell ref="AE190:AE191"/>
    <mergeCell ref="AF190:AF191"/>
    <mergeCell ref="AG190:AG191"/>
    <mergeCell ref="AH190:AH191"/>
    <mergeCell ref="AI188:AI189"/>
    <mergeCell ref="AJ188:AJ189"/>
    <mergeCell ref="AO186:AO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Y188:Y189"/>
    <mergeCell ref="Z188:Z189"/>
    <mergeCell ref="AA188:AA189"/>
    <mergeCell ref="AE188:AE189"/>
    <mergeCell ref="AF188:AF189"/>
    <mergeCell ref="AG188:AG189"/>
    <mergeCell ref="AH188:AH189"/>
    <mergeCell ref="AI186:AI187"/>
    <mergeCell ref="AJ186:AJ187"/>
    <mergeCell ref="AK186:AK187"/>
    <mergeCell ref="AN186:AN187"/>
    <mergeCell ref="AO188:AO189"/>
    <mergeCell ref="AK188:AK189"/>
    <mergeCell ref="AN188:AN189"/>
    <mergeCell ref="A186:A187"/>
    <mergeCell ref="B186:B187"/>
    <mergeCell ref="C186:C187"/>
    <mergeCell ref="D186:D187"/>
    <mergeCell ref="E186:E187"/>
    <mergeCell ref="F186:F187"/>
    <mergeCell ref="G186:G187"/>
    <mergeCell ref="H186:H187"/>
    <mergeCell ref="Y186:Y187"/>
    <mergeCell ref="Z186:Z187"/>
    <mergeCell ref="AA186:AA187"/>
    <mergeCell ref="AE186:AE187"/>
    <mergeCell ref="AF186:AF187"/>
    <mergeCell ref="AG186:AG187"/>
    <mergeCell ref="AH186:AH187"/>
    <mergeCell ref="AI184:AI185"/>
    <mergeCell ref="AJ184:AJ185"/>
    <mergeCell ref="AL188:AL189"/>
    <mergeCell ref="AM188:AM189"/>
    <mergeCell ref="AO182:AO183"/>
    <mergeCell ref="A184:A185"/>
    <mergeCell ref="B184:B185"/>
    <mergeCell ref="C184:C185"/>
    <mergeCell ref="D184:D185"/>
    <mergeCell ref="E184:E185"/>
    <mergeCell ref="F184:F185"/>
    <mergeCell ref="G184:G185"/>
    <mergeCell ref="H184:H185"/>
    <mergeCell ref="Y184:Y185"/>
    <mergeCell ref="Z184:Z185"/>
    <mergeCell ref="AA184:AA185"/>
    <mergeCell ref="AE184:AE185"/>
    <mergeCell ref="AF184:AF185"/>
    <mergeCell ref="AG184:AG185"/>
    <mergeCell ref="AH184:AH185"/>
    <mergeCell ref="AI182:AI183"/>
    <mergeCell ref="AJ182:AJ183"/>
    <mergeCell ref="AK182:AK183"/>
    <mergeCell ref="AN182:AN183"/>
    <mergeCell ref="AO184:AO185"/>
    <mergeCell ref="AK184:AK185"/>
    <mergeCell ref="AN184:AN185"/>
    <mergeCell ref="A182:A183"/>
    <mergeCell ref="B182:B183"/>
    <mergeCell ref="C182:C183"/>
    <mergeCell ref="D182:D183"/>
    <mergeCell ref="E182:E183"/>
    <mergeCell ref="F182:F183"/>
    <mergeCell ref="G182:G183"/>
    <mergeCell ref="H182:H183"/>
    <mergeCell ref="Y182:Y183"/>
    <mergeCell ref="Z182:Z183"/>
    <mergeCell ref="AA182:AA183"/>
    <mergeCell ref="AE182:AE183"/>
    <mergeCell ref="AF182:AF183"/>
    <mergeCell ref="AG182:AG183"/>
    <mergeCell ref="AH182:AH183"/>
    <mergeCell ref="AI180:AI181"/>
    <mergeCell ref="AJ180:AJ181"/>
    <mergeCell ref="AO178:AO179"/>
    <mergeCell ref="A180:A181"/>
    <mergeCell ref="B180:B181"/>
    <mergeCell ref="C180:C181"/>
    <mergeCell ref="D180:D181"/>
    <mergeCell ref="E180:E181"/>
    <mergeCell ref="F180:F181"/>
    <mergeCell ref="G180:G181"/>
    <mergeCell ref="H180:H181"/>
    <mergeCell ref="Y180:Y181"/>
    <mergeCell ref="Z180:Z181"/>
    <mergeCell ref="AA180:AA181"/>
    <mergeCell ref="AE180:AE181"/>
    <mergeCell ref="AF180:AF181"/>
    <mergeCell ref="AG180:AG181"/>
    <mergeCell ref="AH180:AH181"/>
    <mergeCell ref="AI178:AI179"/>
    <mergeCell ref="AJ178:AJ179"/>
    <mergeCell ref="AK178:AK179"/>
    <mergeCell ref="AN178:AN179"/>
    <mergeCell ref="AO180:AO181"/>
    <mergeCell ref="AK180:AK181"/>
    <mergeCell ref="AN180:AN181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Y178:Y179"/>
    <mergeCell ref="Z178:Z179"/>
    <mergeCell ref="AA178:AA179"/>
    <mergeCell ref="AE178:AE179"/>
    <mergeCell ref="AF178:AF179"/>
    <mergeCell ref="AG178:AG179"/>
    <mergeCell ref="AH178:AH179"/>
    <mergeCell ref="AI176:AI177"/>
    <mergeCell ref="AJ176:AJ177"/>
    <mergeCell ref="AO174:AO175"/>
    <mergeCell ref="AK174:AK175"/>
    <mergeCell ref="AN174:AN175"/>
    <mergeCell ref="AO176:AO177"/>
    <mergeCell ref="AK176:AK177"/>
    <mergeCell ref="AN176:AN177"/>
    <mergeCell ref="A176:A177"/>
    <mergeCell ref="B176:B177"/>
    <mergeCell ref="C176:C177"/>
    <mergeCell ref="D176:D177"/>
    <mergeCell ref="E176:E177"/>
    <mergeCell ref="F176:F177"/>
    <mergeCell ref="G176:G177"/>
    <mergeCell ref="H176:H177"/>
    <mergeCell ref="Y176:Y177"/>
    <mergeCell ref="Z176:Z177"/>
    <mergeCell ref="AA176:AA177"/>
    <mergeCell ref="AE176:AE177"/>
    <mergeCell ref="AF176:AF177"/>
    <mergeCell ref="AG176:AG177"/>
    <mergeCell ref="AH176:AH177"/>
    <mergeCell ref="AI174:AI175"/>
    <mergeCell ref="AJ174:AJ175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Y174:Y175"/>
    <mergeCell ref="Z174:Z175"/>
    <mergeCell ref="AA174:AA175"/>
    <mergeCell ref="AE174:AE175"/>
    <mergeCell ref="AF174:AF175"/>
    <mergeCell ref="AG174:AG175"/>
    <mergeCell ref="AH174:AH175"/>
    <mergeCell ref="AI172:AI173"/>
    <mergeCell ref="AJ172:AJ173"/>
    <mergeCell ref="AO170:AO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Y172:Y173"/>
    <mergeCell ref="Z172:Z173"/>
    <mergeCell ref="AA172:AA173"/>
    <mergeCell ref="AE172:AE173"/>
    <mergeCell ref="AF172:AF173"/>
    <mergeCell ref="AG172:AG173"/>
    <mergeCell ref="AH172:AH173"/>
    <mergeCell ref="AI170:AI171"/>
    <mergeCell ref="AJ170:AJ171"/>
    <mergeCell ref="AK170:AK171"/>
    <mergeCell ref="AN170:AN171"/>
    <mergeCell ref="AO172:AO173"/>
    <mergeCell ref="AK172:AK173"/>
    <mergeCell ref="AN172:AN173"/>
    <mergeCell ref="A170:A171"/>
    <mergeCell ref="B170:B171"/>
    <mergeCell ref="C170:C171"/>
    <mergeCell ref="D170:D171"/>
    <mergeCell ref="E170:E171"/>
    <mergeCell ref="F170:F171"/>
    <mergeCell ref="G170:G171"/>
    <mergeCell ref="H170:H171"/>
    <mergeCell ref="Y170:Y171"/>
    <mergeCell ref="Z170:Z171"/>
    <mergeCell ref="AA170:AA171"/>
    <mergeCell ref="AE170:AE171"/>
    <mergeCell ref="AF170:AF171"/>
    <mergeCell ref="AG170:AG171"/>
    <mergeCell ref="AH170:AH171"/>
    <mergeCell ref="AI168:AI169"/>
    <mergeCell ref="AJ168:AJ169"/>
    <mergeCell ref="AO166:AO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Y168:Y169"/>
    <mergeCell ref="Z168:Z169"/>
    <mergeCell ref="AA168:AA169"/>
    <mergeCell ref="AE168:AE169"/>
    <mergeCell ref="AF168:AF169"/>
    <mergeCell ref="AG168:AG169"/>
    <mergeCell ref="AH168:AH169"/>
    <mergeCell ref="AI166:AI167"/>
    <mergeCell ref="AJ166:AJ167"/>
    <mergeCell ref="AK166:AK167"/>
    <mergeCell ref="AN166:AN167"/>
    <mergeCell ref="AO168:AO169"/>
    <mergeCell ref="AK168:AK169"/>
    <mergeCell ref="AN168:AN169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Y166:Y167"/>
    <mergeCell ref="Z166:Z167"/>
    <mergeCell ref="AA166:AA167"/>
    <mergeCell ref="AE166:AE167"/>
    <mergeCell ref="AF166:AF167"/>
    <mergeCell ref="AG166:AG167"/>
    <mergeCell ref="AH166:AH167"/>
    <mergeCell ref="AI164:AI165"/>
    <mergeCell ref="AJ164:AJ165"/>
    <mergeCell ref="AL168:AL169"/>
    <mergeCell ref="AM168:AM169"/>
    <mergeCell ref="AO162:AO163"/>
    <mergeCell ref="A164:A165"/>
    <mergeCell ref="B164:B165"/>
    <mergeCell ref="C164:C165"/>
    <mergeCell ref="D164:D165"/>
    <mergeCell ref="E164:E165"/>
    <mergeCell ref="F164:F165"/>
    <mergeCell ref="G164:G165"/>
    <mergeCell ref="H164:H165"/>
    <mergeCell ref="Y164:Y165"/>
    <mergeCell ref="Z164:Z165"/>
    <mergeCell ref="AA164:AA165"/>
    <mergeCell ref="AE164:AE165"/>
    <mergeCell ref="AF164:AF165"/>
    <mergeCell ref="AG164:AG165"/>
    <mergeCell ref="AH164:AH165"/>
    <mergeCell ref="AI162:AI163"/>
    <mergeCell ref="AJ162:AJ163"/>
    <mergeCell ref="AK162:AK163"/>
    <mergeCell ref="AN162:AN163"/>
    <mergeCell ref="AO164:AO165"/>
    <mergeCell ref="AK164:AK165"/>
    <mergeCell ref="AN164:AN165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Y162:Y163"/>
    <mergeCell ref="Z162:Z163"/>
    <mergeCell ref="AA162:AA163"/>
    <mergeCell ref="AE162:AE163"/>
    <mergeCell ref="AF162:AF163"/>
    <mergeCell ref="AG162:AG163"/>
    <mergeCell ref="AH162:AH163"/>
    <mergeCell ref="AI160:AI161"/>
    <mergeCell ref="AJ160:AJ161"/>
    <mergeCell ref="AO158:AO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Y160:Y161"/>
    <mergeCell ref="Z160:Z161"/>
    <mergeCell ref="AA160:AA161"/>
    <mergeCell ref="AE160:AE161"/>
    <mergeCell ref="AF160:AF161"/>
    <mergeCell ref="AG160:AG161"/>
    <mergeCell ref="AH160:AH161"/>
    <mergeCell ref="AI158:AI159"/>
    <mergeCell ref="AJ158:AJ159"/>
    <mergeCell ref="AK158:AK159"/>
    <mergeCell ref="AN158:AN159"/>
    <mergeCell ref="AO160:AO161"/>
    <mergeCell ref="AK160:AK161"/>
    <mergeCell ref="AN160:AN161"/>
    <mergeCell ref="A158:A159"/>
    <mergeCell ref="B158:B159"/>
    <mergeCell ref="C158:C159"/>
    <mergeCell ref="D158:D159"/>
    <mergeCell ref="E158:E159"/>
    <mergeCell ref="F158:F159"/>
    <mergeCell ref="G158:G159"/>
    <mergeCell ref="H158:H159"/>
    <mergeCell ref="Y158:Y159"/>
    <mergeCell ref="Z158:Z159"/>
    <mergeCell ref="AA158:AA159"/>
    <mergeCell ref="AE158:AE159"/>
    <mergeCell ref="AF158:AF159"/>
    <mergeCell ref="AG158:AG159"/>
    <mergeCell ref="AH158:AH159"/>
    <mergeCell ref="AI156:AI157"/>
    <mergeCell ref="AJ156:AJ157"/>
    <mergeCell ref="AO154:AO155"/>
    <mergeCell ref="AK154:AK155"/>
    <mergeCell ref="AN154:AN155"/>
    <mergeCell ref="AO156:AO157"/>
    <mergeCell ref="AK156:AK157"/>
    <mergeCell ref="AN156:AN157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Y156:Y157"/>
    <mergeCell ref="Z156:Z157"/>
    <mergeCell ref="AA156:AA157"/>
    <mergeCell ref="AE156:AE157"/>
    <mergeCell ref="AF156:AF157"/>
    <mergeCell ref="AG156:AG157"/>
    <mergeCell ref="AH156:AH157"/>
    <mergeCell ref="AI154:AI155"/>
    <mergeCell ref="AJ154:AJ155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Y154:Y155"/>
    <mergeCell ref="Z154:Z155"/>
    <mergeCell ref="AA154:AA155"/>
    <mergeCell ref="AE154:AE155"/>
    <mergeCell ref="AF154:AF155"/>
    <mergeCell ref="AG154:AG155"/>
    <mergeCell ref="AH154:AH155"/>
    <mergeCell ref="AI152:AI153"/>
    <mergeCell ref="AJ152:AJ153"/>
    <mergeCell ref="AO150:AO151"/>
    <mergeCell ref="A152:A153"/>
    <mergeCell ref="B152:B153"/>
    <mergeCell ref="C152:C153"/>
    <mergeCell ref="D152:D153"/>
    <mergeCell ref="E152:E153"/>
    <mergeCell ref="F152:F153"/>
    <mergeCell ref="G152:G153"/>
    <mergeCell ref="H152:H153"/>
    <mergeCell ref="Y152:Y153"/>
    <mergeCell ref="Z152:Z153"/>
    <mergeCell ref="AA152:AA153"/>
    <mergeCell ref="AE152:AE153"/>
    <mergeCell ref="AF152:AF153"/>
    <mergeCell ref="AG152:AG153"/>
    <mergeCell ref="AH152:AH153"/>
    <mergeCell ref="AI150:AI151"/>
    <mergeCell ref="AJ150:AJ151"/>
    <mergeCell ref="AK150:AK151"/>
    <mergeCell ref="AN150:AN151"/>
    <mergeCell ref="AO152:AO153"/>
    <mergeCell ref="AK152:AK153"/>
    <mergeCell ref="AN152:AN153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Y150:Y151"/>
    <mergeCell ref="Z150:Z151"/>
    <mergeCell ref="AA150:AA151"/>
    <mergeCell ref="AE150:AE151"/>
    <mergeCell ref="AF150:AF151"/>
    <mergeCell ref="AG150:AG151"/>
    <mergeCell ref="AH150:AH151"/>
    <mergeCell ref="AI148:AI149"/>
    <mergeCell ref="AJ148:AJ149"/>
    <mergeCell ref="AO146:AO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Y148:Y149"/>
    <mergeCell ref="Z148:Z149"/>
    <mergeCell ref="AA148:AA149"/>
    <mergeCell ref="AE148:AE149"/>
    <mergeCell ref="AF148:AF149"/>
    <mergeCell ref="AG148:AG149"/>
    <mergeCell ref="AH148:AH149"/>
    <mergeCell ref="AI146:AI147"/>
    <mergeCell ref="AJ146:AJ147"/>
    <mergeCell ref="AK146:AK147"/>
    <mergeCell ref="AN146:AN147"/>
    <mergeCell ref="AO148:AO149"/>
    <mergeCell ref="AK148:AK149"/>
    <mergeCell ref="AN148:AN149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Y146:Y147"/>
    <mergeCell ref="Z146:Z147"/>
    <mergeCell ref="AA146:AA147"/>
    <mergeCell ref="AE146:AE147"/>
    <mergeCell ref="AF146:AF147"/>
    <mergeCell ref="AG146:AG147"/>
    <mergeCell ref="AH146:AH147"/>
    <mergeCell ref="AI144:AI145"/>
    <mergeCell ref="AJ144:AJ145"/>
    <mergeCell ref="AL148:AL149"/>
    <mergeCell ref="AM148:AM149"/>
    <mergeCell ref="AO142:AO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Y144:Y145"/>
    <mergeCell ref="Z144:Z145"/>
    <mergeCell ref="AA144:AA145"/>
    <mergeCell ref="AE144:AE145"/>
    <mergeCell ref="AF144:AF145"/>
    <mergeCell ref="AG144:AG145"/>
    <mergeCell ref="AH144:AH145"/>
    <mergeCell ref="AI142:AI143"/>
    <mergeCell ref="AJ142:AJ143"/>
    <mergeCell ref="AK142:AK143"/>
    <mergeCell ref="AN142:AN143"/>
    <mergeCell ref="AO144:AO145"/>
    <mergeCell ref="AK144:AK145"/>
    <mergeCell ref="AN144:AN145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Y142:Y143"/>
    <mergeCell ref="Z142:Z143"/>
    <mergeCell ref="AA142:AA143"/>
    <mergeCell ref="AE142:AE143"/>
    <mergeCell ref="AF142:AF143"/>
    <mergeCell ref="AG142:AG143"/>
    <mergeCell ref="AH142:AH143"/>
    <mergeCell ref="AI140:AI141"/>
    <mergeCell ref="AJ140:AJ141"/>
    <mergeCell ref="AO138:AO139"/>
    <mergeCell ref="A140:A141"/>
    <mergeCell ref="B140:B141"/>
    <mergeCell ref="C140:C141"/>
    <mergeCell ref="D140:D141"/>
    <mergeCell ref="E140:E141"/>
    <mergeCell ref="F140:F141"/>
    <mergeCell ref="G140:G141"/>
    <mergeCell ref="H140:H141"/>
    <mergeCell ref="Y140:Y141"/>
    <mergeCell ref="Z140:Z141"/>
    <mergeCell ref="AA140:AA141"/>
    <mergeCell ref="AE140:AE141"/>
    <mergeCell ref="AF140:AF141"/>
    <mergeCell ref="AG140:AG141"/>
    <mergeCell ref="AH140:AH141"/>
    <mergeCell ref="AI138:AI139"/>
    <mergeCell ref="AJ138:AJ139"/>
    <mergeCell ref="AK138:AK139"/>
    <mergeCell ref="AN138:AN139"/>
    <mergeCell ref="AO140:AO141"/>
    <mergeCell ref="AK140:AK141"/>
    <mergeCell ref="AN140:AN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Y138:Y139"/>
    <mergeCell ref="Z138:Z139"/>
    <mergeCell ref="AA138:AA139"/>
    <mergeCell ref="AE138:AE139"/>
    <mergeCell ref="AF138:AF139"/>
    <mergeCell ref="AG138:AG139"/>
    <mergeCell ref="AH138:AH139"/>
    <mergeCell ref="AI136:AI137"/>
    <mergeCell ref="AJ136:AJ137"/>
    <mergeCell ref="AO134:AO135"/>
    <mergeCell ref="AK134:AK135"/>
    <mergeCell ref="AN134:AN135"/>
    <mergeCell ref="AO136:AO137"/>
    <mergeCell ref="AK136:AK137"/>
    <mergeCell ref="AN136:AN137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Y136:Y137"/>
    <mergeCell ref="Z136:Z137"/>
    <mergeCell ref="AA136:AA137"/>
    <mergeCell ref="AE136:AE137"/>
    <mergeCell ref="AF136:AF137"/>
    <mergeCell ref="AG136:AG137"/>
    <mergeCell ref="AH136:AH137"/>
    <mergeCell ref="AI134:AI135"/>
    <mergeCell ref="AJ134:AJ135"/>
    <mergeCell ref="A134:A135"/>
    <mergeCell ref="B134:B135"/>
    <mergeCell ref="C134:C135"/>
    <mergeCell ref="D134:D135"/>
    <mergeCell ref="E134:E135"/>
    <mergeCell ref="F134:F135"/>
    <mergeCell ref="G134:G135"/>
    <mergeCell ref="H134:H135"/>
    <mergeCell ref="Y134:Y135"/>
    <mergeCell ref="Z134:Z135"/>
    <mergeCell ref="AA134:AA135"/>
    <mergeCell ref="AE134:AE135"/>
    <mergeCell ref="AF134:AF135"/>
    <mergeCell ref="AG134:AG135"/>
    <mergeCell ref="AH134:AH135"/>
    <mergeCell ref="AI132:AI133"/>
    <mergeCell ref="AJ132:AJ133"/>
    <mergeCell ref="AO130:AO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Y132:Y133"/>
    <mergeCell ref="Z132:Z133"/>
    <mergeCell ref="AA132:AA133"/>
    <mergeCell ref="AE132:AE133"/>
    <mergeCell ref="AF132:AF133"/>
    <mergeCell ref="AG132:AG133"/>
    <mergeCell ref="AH132:AH133"/>
    <mergeCell ref="AI130:AI131"/>
    <mergeCell ref="AJ130:AJ131"/>
    <mergeCell ref="AK130:AK131"/>
    <mergeCell ref="AN130:AN131"/>
    <mergeCell ref="AO132:AO133"/>
    <mergeCell ref="AK132:AK133"/>
    <mergeCell ref="AN132:AN133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Y130:Y131"/>
    <mergeCell ref="Z130:Z131"/>
    <mergeCell ref="AA130:AA131"/>
    <mergeCell ref="AE130:AE131"/>
    <mergeCell ref="AF130:AF131"/>
    <mergeCell ref="AG130:AG131"/>
    <mergeCell ref="AH130:AH131"/>
    <mergeCell ref="AI128:AI129"/>
    <mergeCell ref="AJ128:AJ129"/>
    <mergeCell ref="AO126:AO127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Y128:Y129"/>
    <mergeCell ref="Z128:Z129"/>
    <mergeCell ref="AA128:AA129"/>
    <mergeCell ref="AE128:AE129"/>
    <mergeCell ref="AF128:AF129"/>
    <mergeCell ref="AG128:AG129"/>
    <mergeCell ref="AH128:AH129"/>
    <mergeCell ref="AI126:AI127"/>
    <mergeCell ref="AJ126:AJ127"/>
    <mergeCell ref="AK126:AK127"/>
    <mergeCell ref="AN126:AN127"/>
    <mergeCell ref="AO128:AO129"/>
    <mergeCell ref="AK128:AK129"/>
    <mergeCell ref="AN128:AN129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Y126:Y127"/>
    <mergeCell ref="Z126:Z127"/>
    <mergeCell ref="AA126:AA127"/>
    <mergeCell ref="AE126:AE127"/>
    <mergeCell ref="AF126:AF127"/>
    <mergeCell ref="AG126:AG127"/>
    <mergeCell ref="AH126:AH127"/>
    <mergeCell ref="AI124:AI125"/>
    <mergeCell ref="AJ124:AJ125"/>
    <mergeCell ref="AL128:AL129"/>
    <mergeCell ref="AM128:AM129"/>
    <mergeCell ref="AO122:AO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Y124:Y125"/>
    <mergeCell ref="Z124:Z125"/>
    <mergeCell ref="AA124:AA125"/>
    <mergeCell ref="AE124:AE125"/>
    <mergeCell ref="AF124:AF125"/>
    <mergeCell ref="AG124:AG125"/>
    <mergeCell ref="AH124:AH125"/>
    <mergeCell ref="AI122:AI123"/>
    <mergeCell ref="AJ122:AJ123"/>
    <mergeCell ref="AK122:AK123"/>
    <mergeCell ref="AN122:AN123"/>
    <mergeCell ref="AO124:AO125"/>
    <mergeCell ref="AK124:AK125"/>
    <mergeCell ref="AN124:AN125"/>
    <mergeCell ref="A122:A123"/>
    <mergeCell ref="B122:B123"/>
    <mergeCell ref="C122:C123"/>
    <mergeCell ref="D122:D123"/>
    <mergeCell ref="E122:E123"/>
    <mergeCell ref="F122:F123"/>
    <mergeCell ref="G122:G123"/>
    <mergeCell ref="H122:H123"/>
    <mergeCell ref="Y122:Y123"/>
    <mergeCell ref="Z122:Z123"/>
    <mergeCell ref="AA122:AA123"/>
    <mergeCell ref="AE122:AE123"/>
    <mergeCell ref="AF122:AF123"/>
    <mergeCell ref="AG122:AG123"/>
    <mergeCell ref="AH122:AH123"/>
    <mergeCell ref="AI120:AI121"/>
    <mergeCell ref="AJ120:AJ121"/>
    <mergeCell ref="AO118:AO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Y120:Y121"/>
    <mergeCell ref="Z120:Z121"/>
    <mergeCell ref="AA120:AA121"/>
    <mergeCell ref="AE120:AE121"/>
    <mergeCell ref="AF120:AF121"/>
    <mergeCell ref="AG120:AG121"/>
    <mergeCell ref="AH120:AH121"/>
    <mergeCell ref="AI118:AI119"/>
    <mergeCell ref="AJ118:AJ119"/>
    <mergeCell ref="AK118:AK119"/>
    <mergeCell ref="AN118:AN119"/>
    <mergeCell ref="AO120:AO121"/>
    <mergeCell ref="AK120:AK121"/>
    <mergeCell ref="AN120:AN121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Y118:Y119"/>
    <mergeCell ref="Z118:Z119"/>
    <mergeCell ref="AA118:AA119"/>
    <mergeCell ref="AE118:AE119"/>
    <mergeCell ref="AF118:AF119"/>
    <mergeCell ref="AG118:AG119"/>
    <mergeCell ref="AH118:AH119"/>
    <mergeCell ref="AI116:AI117"/>
    <mergeCell ref="AJ116:AJ117"/>
    <mergeCell ref="AO114:AO115"/>
    <mergeCell ref="AK114:AK115"/>
    <mergeCell ref="AN114:AN115"/>
    <mergeCell ref="AO116:AO117"/>
    <mergeCell ref="AK116:AK117"/>
    <mergeCell ref="AN116:AN117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Y116:Y117"/>
    <mergeCell ref="Z116:Z117"/>
    <mergeCell ref="AA116:AA117"/>
    <mergeCell ref="AE116:AE117"/>
    <mergeCell ref="AF116:AF117"/>
    <mergeCell ref="AG116:AG117"/>
    <mergeCell ref="AH116:AH117"/>
    <mergeCell ref="AI114:AI115"/>
    <mergeCell ref="AJ114:AJ115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Y114:Y115"/>
    <mergeCell ref="Z114:Z115"/>
    <mergeCell ref="AA114:AA115"/>
    <mergeCell ref="AE114:AE115"/>
    <mergeCell ref="AF114:AF115"/>
    <mergeCell ref="AG114:AG115"/>
    <mergeCell ref="AH114:AH115"/>
    <mergeCell ref="AI112:AI113"/>
    <mergeCell ref="AJ112:AJ113"/>
    <mergeCell ref="AO110:AO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Y112:Y113"/>
    <mergeCell ref="Z112:Z113"/>
    <mergeCell ref="AA112:AA113"/>
    <mergeCell ref="AE112:AE113"/>
    <mergeCell ref="AF112:AF113"/>
    <mergeCell ref="AG112:AG113"/>
    <mergeCell ref="AH112:AH113"/>
    <mergeCell ref="AI110:AI111"/>
    <mergeCell ref="AJ110:AJ111"/>
    <mergeCell ref="AK110:AK111"/>
    <mergeCell ref="AN110:AN111"/>
    <mergeCell ref="AO112:AO113"/>
    <mergeCell ref="AK112:AK113"/>
    <mergeCell ref="AN112:AN113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Y110:Y111"/>
    <mergeCell ref="Z110:Z111"/>
    <mergeCell ref="AA110:AA111"/>
    <mergeCell ref="AE110:AE111"/>
    <mergeCell ref="AF110:AF111"/>
    <mergeCell ref="AG110:AG111"/>
    <mergeCell ref="AH110:AH111"/>
    <mergeCell ref="AI108:AI109"/>
    <mergeCell ref="AJ108:AJ109"/>
    <mergeCell ref="AO106:AO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Y108:Y109"/>
    <mergeCell ref="Z108:Z109"/>
    <mergeCell ref="AA108:AA109"/>
    <mergeCell ref="AE108:AE109"/>
    <mergeCell ref="AF108:AF109"/>
    <mergeCell ref="AG108:AG109"/>
    <mergeCell ref="AH108:AH109"/>
    <mergeCell ref="AI106:AI107"/>
    <mergeCell ref="AJ106:AJ107"/>
    <mergeCell ref="AK106:AK107"/>
    <mergeCell ref="AN106:AN107"/>
    <mergeCell ref="AO108:AO109"/>
    <mergeCell ref="AK108:AK109"/>
    <mergeCell ref="AN108:AN109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Y106:Y107"/>
    <mergeCell ref="Z106:Z107"/>
    <mergeCell ref="AA106:AA107"/>
    <mergeCell ref="AE106:AE107"/>
    <mergeCell ref="AF106:AF107"/>
    <mergeCell ref="AG106:AG107"/>
    <mergeCell ref="AH106:AH107"/>
    <mergeCell ref="AI104:AI105"/>
    <mergeCell ref="AJ104:AJ105"/>
    <mergeCell ref="AL108:AL109"/>
    <mergeCell ref="AM108:AM109"/>
    <mergeCell ref="AO102:AO103"/>
    <mergeCell ref="A104:A105"/>
    <mergeCell ref="B104:B105"/>
    <mergeCell ref="C104:C105"/>
    <mergeCell ref="D104:D105"/>
    <mergeCell ref="E104:E105"/>
    <mergeCell ref="F104:F105"/>
    <mergeCell ref="G104:G105"/>
    <mergeCell ref="H104:H105"/>
    <mergeCell ref="Y104:Y105"/>
    <mergeCell ref="Z104:Z105"/>
    <mergeCell ref="AA104:AA105"/>
    <mergeCell ref="AE104:AE105"/>
    <mergeCell ref="AF104:AF105"/>
    <mergeCell ref="AG104:AG105"/>
    <mergeCell ref="AH104:AH105"/>
    <mergeCell ref="AI102:AI103"/>
    <mergeCell ref="AJ102:AJ103"/>
    <mergeCell ref="AK102:AK103"/>
    <mergeCell ref="AN102:AN103"/>
    <mergeCell ref="AO104:AO105"/>
    <mergeCell ref="AK104:AK105"/>
    <mergeCell ref="AN104:AN105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Y102:Y103"/>
    <mergeCell ref="Z102:Z103"/>
    <mergeCell ref="AA102:AA103"/>
    <mergeCell ref="AE102:AE103"/>
    <mergeCell ref="AF102:AF103"/>
    <mergeCell ref="AG102:AG103"/>
    <mergeCell ref="AH102:AH103"/>
    <mergeCell ref="AI100:AI101"/>
    <mergeCell ref="AJ100:AJ101"/>
    <mergeCell ref="AO98:AO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Y100:Y101"/>
    <mergeCell ref="Z100:Z101"/>
    <mergeCell ref="AA100:AA101"/>
    <mergeCell ref="AE100:AE101"/>
    <mergeCell ref="AF100:AF101"/>
    <mergeCell ref="AG100:AG101"/>
    <mergeCell ref="AH100:AH101"/>
    <mergeCell ref="AI98:AI99"/>
    <mergeCell ref="AJ98:AJ99"/>
    <mergeCell ref="AK98:AK99"/>
    <mergeCell ref="AN98:AN99"/>
    <mergeCell ref="AO100:AO101"/>
    <mergeCell ref="AK100:AK101"/>
    <mergeCell ref="AN100:AN101"/>
    <mergeCell ref="A98:A99"/>
    <mergeCell ref="B98:B99"/>
    <mergeCell ref="C98:C99"/>
    <mergeCell ref="D98:D99"/>
    <mergeCell ref="E98:E99"/>
    <mergeCell ref="F98:F99"/>
    <mergeCell ref="G98:G99"/>
    <mergeCell ref="H98:H99"/>
    <mergeCell ref="Y98:Y99"/>
    <mergeCell ref="Z98:Z99"/>
    <mergeCell ref="AA98:AA99"/>
    <mergeCell ref="AE98:AE99"/>
    <mergeCell ref="AF98:AF99"/>
    <mergeCell ref="AG98:AG99"/>
    <mergeCell ref="AH98:AH99"/>
    <mergeCell ref="AI96:AI97"/>
    <mergeCell ref="AJ96:AJ97"/>
    <mergeCell ref="AO94:AO95"/>
    <mergeCell ref="AK94:AK95"/>
    <mergeCell ref="AN94:AN95"/>
    <mergeCell ref="AO96:AO97"/>
    <mergeCell ref="AK96:AK97"/>
    <mergeCell ref="AN96:AN97"/>
    <mergeCell ref="A96:A97"/>
    <mergeCell ref="B96:B97"/>
    <mergeCell ref="C96:C97"/>
    <mergeCell ref="D96:D97"/>
    <mergeCell ref="E96:E97"/>
    <mergeCell ref="F96:F97"/>
    <mergeCell ref="G96:G97"/>
    <mergeCell ref="H96:H97"/>
    <mergeCell ref="Y96:Y97"/>
    <mergeCell ref="Z96:Z97"/>
    <mergeCell ref="AA96:AA97"/>
    <mergeCell ref="AE96:AE97"/>
    <mergeCell ref="AF96:AF97"/>
    <mergeCell ref="AG96:AG97"/>
    <mergeCell ref="AH96:AH97"/>
    <mergeCell ref="AI94:AI95"/>
    <mergeCell ref="AJ94:AJ95"/>
    <mergeCell ref="A94:A95"/>
    <mergeCell ref="B94:B95"/>
    <mergeCell ref="C94:C95"/>
    <mergeCell ref="D94:D95"/>
    <mergeCell ref="E94:E95"/>
    <mergeCell ref="F94:F95"/>
    <mergeCell ref="G94:G95"/>
    <mergeCell ref="H94:H95"/>
    <mergeCell ref="Y94:Y95"/>
    <mergeCell ref="Z94:Z95"/>
    <mergeCell ref="AA94:AA95"/>
    <mergeCell ref="AE94:AE95"/>
    <mergeCell ref="AF94:AF95"/>
    <mergeCell ref="AG94:AG95"/>
    <mergeCell ref="AH94:AH95"/>
    <mergeCell ref="AI92:AI93"/>
    <mergeCell ref="AJ92:AJ93"/>
    <mergeCell ref="AO90:AO91"/>
    <mergeCell ref="A92:A93"/>
    <mergeCell ref="B92:B93"/>
    <mergeCell ref="C92:C93"/>
    <mergeCell ref="D92:D93"/>
    <mergeCell ref="E92:E93"/>
    <mergeCell ref="F92:F93"/>
    <mergeCell ref="G92:G93"/>
    <mergeCell ref="H92:H93"/>
    <mergeCell ref="Y92:Y93"/>
    <mergeCell ref="Z92:Z93"/>
    <mergeCell ref="AA92:AA93"/>
    <mergeCell ref="AE92:AE93"/>
    <mergeCell ref="AF92:AF93"/>
    <mergeCell ref="AG92:AG93"/>
    <mergeCell ref="AH92:AH93"/>
    <mergeCell ref="AI90:AI91"/>
    <mergeCell ref="AJ90:AJ91"/>
    <mergeCell ref="AK90:AK91"/>
    <mergeCell ref="AN90:AN91"/>
    <mergeCell ref="AO92:AO93"/>
    <mergeCell ref="AK92:AK93"/>
    <mergeCell ref="AN92:AN93"/>
    <mergeCell ref="A90:A91"/>
    <mergeCell ref="B90:B91"/>
    <mergeCell ref="C90:C91"/>
    <mergeCell ref="D90:D91"/>
    <mergeCell ref="E90:E91"/>
    <mergeCell ref="F90:F91"/>
    <mergeCell ref="G90:G91"/>
    <mergeCell ref="H90:H91"/>
    <mergeCell ref="Y90:Y91"/>
    <mergeCell ref="Z90:Z91"/>
    <mergeCell ref="AA90:AA91"/>
    <mergeCell ref="AE90:AE91"/>
    <mergeCell ref="AF90:AF91"/>
    <mergeCell ref="AG90:AG91"/>
    <mergeCell ref="AH90:AH91"/>
    <mergeCell ref="AI88:AI89"/>
    <mergeCell ref="AJ88:AJ89"/>
    <mergeCell ref="AO86:AO87"/>
    <mergeCell ref="A88:A89"/>
    <mergeCell ref="B88:B89"/>
    <mergeCell ref="C88:C89"/>
    <mergeCell ref="D88:D89"/>
    <mergeCell ref="E88:E89"/>
    <mergeCell ref="F88:F89"/>
    <mergeCell ref="G88:G89"/>
    <mergeCell ref="H88:H89"/>
    <mergeCell ref="Y88:Y89"/>
    <mergeCell ref="Z88:Z89"/>
    <mergeCell ref="AA88:AA89"/>
    <mergeCell ref="AE88:AE89"/>
    <mergeCell ref="AF88:AF89"/>
    <mergeCell ref="AG88:AG89"/>
    <mergeCell ref="AH88:AH89"/>
    <mergeCell ref="AI86:AI87"/>
    <mergeCell ref="AJ86:AJ87"/>
    <mergeCell ref="AK86:AK87"/>
    <mergeCell ref="AN86:AN87"/>
    <mergeCell ref="AO88:AO89"/>
    <mergeCell ref="AK88:AK89"/>
    <mergeCell ref="AN88:AN89"/>
    <mergeCell ref="A86:A87"/>
    <mergeCell ref="B86:B87"/>
    <mergeCell ref="C86:C87"/>
    <mergeCell ref="D86:D87"/>
    <mergeCell ref="E86:E87"/>
    <mergeCell ref="F86:F87"/>
    <mergeCell ref="G86:G87"/>
    <mergeCell ref="H86:H87"/>
    <mergeCell ref="Y86:Y87"/>
    <mergeCell ref="Z86:Z87"/>
    <mergeCell ref="AA86:AA87"/>
    <mergeCell ref="AE86:AE87"/>
    <mergeCell ref="AF86:AF87"/>
    <mergeCell ref="AG86:AG87"/>
    <mergeCell ref="AH86:AH87"/>
    <mergeCell ref="AI84:AI85"/>
    <mergeCell ref="AJ84:AJ85"/>
    <mergeCell ref="AL88:AL89"/>
    <mergeCell ref="AM88:AM89"/>
    <mergeCell ref="AO82:AO83"/>
    <mergeCell ref="A84:A85"/>
    <mergeCell ref="B84:B85"/>
    <mergeCell ref="C84:C85"/>
    <mergeCell ref="D84:D85"/>
    <mergeCell ref="E84:E85"/>
    <mergeCell ref="F84:F85"/>
    <mergeCell ref="G84:G85"/>
    <mergeCell ref="H84:H85"/>
    <mergeCell ref="Y84:Y85"/>
    <mergeCell ref="Z84:Z85"/>
    <mergeCell ref="AA84:AA85"/>
    <mergeCell ref="AE84:AE85"/>
    <mergeCell ref="AF84:AF85"/>
    <mergeCell ref="AG84:AG85"/>
    <mergeCell ref="AH84:AH85"/>
    <mergeCell ref="AI82:AI83"/>
    <mergeCell ref="AJ82:AJ83"/>
    <mergeCell ref="AK82:AK83"/>
    <mergeCell ref="AN82:AN83"/>
    <mergeCell ref="AO84:AO85"/>
    <mergeCell ref="AK84:AK85"/>
    <mergeCell ref="AN84:AN85"/>
    <mergeCell ref="A82:A83"/>
    <mergeCell ref="B82:B83"/>
    <mergeCell ref="C82:C83"/>
    <mergeCell ref="D82:D83"/>
    <mergeCell ref="E82:E83"/>
    <mergeCell ref="F82:F83"/>
    <mergeCell ref="G82:G83"/>
    <mergeCell ref="H82:H83"/>
    <mergeCell ref="Y82:Y83"/>
    <mergeCell ref="Z82:Z83"/>
    <mergeCell ref="AA82:AA83"/>
    <mergeCell ref="AE82:AE83"/>
    <mergeCell ref="AF82:AF83"/>
    <mergeCell ref="AG82:AG83"/>
    <mergeCell ref="AH82:AH83"/>
    <mergeCell ref="AI80:AI81"/>
    <mergeCell ref="AJ80:AJ81"/>
    <mergeCell ref="AO78:AO79"/>
    <mergeCell ref="A80:A81"/>
    <mergeCell ref="B80:B81"/>
    <mergeCell ref="C80:C81"/>
    <mergeCell ref="D80:D81"/>
    <mergeCell ref="E80:E81"/>
    <mergeCell ref="F80:F81"/>
    <mergeCell ref="G80:G81"/>
    <mergeCell ref="H80:H81"/>
    <mergeCell ref="Y80:Y81"/>
    <mergeCell ref="Z80:Z81"/>
    <mergeCell ref="AA80:AA81"/>
    <mergeCell ref="AE80:AE81"/>
    <mergeCell ref="AF80:AF81"/>
    <mergeCell ref="AG80:AG81"/>
    <mergeCell ref="AH80:AH81"/>
    <mergeCell ref="AI78:AI79"/>
    <mergeCell ref="AJ78:AJ79"/>
    <mergeCell ref="AK78:AK79"/>
    <mergeCell ref="AN78:AN79"/>
    <mergeCell ref="AO80:AO81"/>
    <mergeCell ref="AK80:AK81"/>
    <mergeCell ref="AN80:AN81"/>
    <mergeCell ref="A78:A79"/>
    <mergeCell ref="B78:B79"/>
    <mergeCell ref="C78:C79"/>
    <mergeCell ref="D78:D79"/>
    <mergeCell ref="E78:E79"/>
    <mergeCell ref="F78:F79"/>
    <mergeCell ref="G78:G79"/>
    <mergeCell ref="H78:H79"/>
    <mergeCell ref="Y78:Y79"/>
    <mergeCell ref="Z78:Z79"/>
    <mergeCell ref="AA78:AA79"/>
    <mergeCell ref="AE78:AE79"/>
    <mergeCell ref="AF78:AF79"/>
    <mergeCell ref="AG78:AG79"/>
    <mergeCell ref="AH78:AH79"/>
    <mergeCell ref="AI76:AI77"/>
    <mergeCell ref="AJ76:AJ77"/>
    <mergeCell ref="AO74:AO75"/>
    <mergeCell ref="AK74:AK75"/>
    <mergeCell ref="AN74:AN75"/>
    <mergeCell ref="AO76:AO77"/>
    <mergeCell ref="AK76:AK77"/>
    <mergeCell ref="AN76:AN77"/>
    <mergeCell ref="A76:A77"/>
    <mergeCell ref="B76:B77"/>
    <mergeCell ref="C76:C77"/>
    <mergeCell ref="D76:D77"/>
    <mergeCell ref="E76:E77"/>
    <mergeCell ref="F76:F77"/>
    <mergeCell ref="G76:G77"/>
    <mergeCell ref="H76:H77"/>
    <mergeCell ref="Y76:Y77"/>
    <mergeCell ref="Z76:Z77"/>
    <mergeCell ref="AA76:AA77"/>
    <mergeCell ref="AE76:AE77"/>
    <mergeCell ref="AF76:AF77"/>
    <mergeCell ref="AG76:AG77"/>
    <mergeCell ref="AH76:AH77"/>
    <mergeCell ref="AI74:AI75"/>
    <mergeCell ref="AJ74:AJ75"/>
    <mergeCell ref="A74:A75"/>
    <mergeCell ref="B74:B75"/>
    <mergeCell ref="C74:C75"/>
    <mergeCell ref="D74:D75"/>
    <mergeCell ref="E74:E75"/>
    <mergeCell ref="F74:F75"/>
    <mergeCell ref="G74:G75"/>
    <mergeCell ref="H74:H75"/>
    <mergeCell ref="Y74:Y75"/>
    <mergeCell ref="Z74:Z75"/>
    <mergeCell ref="AA74:AA75"/>
    <mergeCell ref="AE74:AE75"/>
    <mergeCell ref="AF74:AF75"/>
    <mergeCell ref="AG74:AG75"/>
    <mergeCell ref="AH74:AH75"/>
    <mergeCell ref="AI72:AI73"/>
    <mergeCell ref="AJ72:AJ73"/>
    <mergeCell ref="AO70:AO71"/>
    <mergeCell ref="A72:A73"/>
    <mergeCell ref="B72:B73"/>
    <mergeCell ref="C72:C73"/>
    <mergeCell ref="D72:D73"/>
    <mergeCell ref="E72:E73"/>
    <mergeCell ref="F72:F73"/>
    <mergeCell ref="G72:G73"/>
    <mergeCell ref="H72:H73"/>
    <mergeCell ref="Y72:Y73"/>
    <mergeCell ref="Z72:Z73"/>
    <mergeCell ref="AA72:AA73"/>
    <mergeCell ref="AE72:AE73"/>
    <mergeCell ref="AF72:AF73"/>
    <mergeCell ref="AG72:AG73"/>
    <mergeCell ref="AH72:AH73"/>
    <mergeCell ref="AI70:AI71"/>
    <mergeCell ref="AJ70:AJ71"/>
    <mergeCell ref="AK70:AK71"/>
    <mergeCell ref="AN70:AN71"/>
    <mergeCell ref="AO72:AO73"/>
    <mergeCell ref="AK72:AK73"/>
    <mergeCell ref="AN72:AN73"/>
    <mergeCell ref="A70:A71"/>
    <mergeCell ref="B70:B71"/>
    <mergeCell ref="C70:C71"/>
    <mergeCell ref="D70:D71"/>
    <mergeCell ref="E70:E71"/>
    <mergeCell ref="F70:F71"/>
    <mergeCell ref="G70:G71"/>
    <mergeCell ref="H70:H71"/>
    <mergeCell ref="Y70:Y71"/>
    <mergeCell ref="Z70:Z71"/>
    <mergeCell ref="AA70:AA71"/>
    <mergeCell ref="AE70:AE71"/>
    <mergeCell ref="AF70:AF71"/>
    <mergeCell ref="AG70:AG71"/>
    <mergeCell ref="AH70:AH71"/>
    <mergeCell ref="AI68:AI69"/>
    <mergeCell ref="AJ68:AJ69"/>
    <mergeCell ref="AO66:AO67"/>
    <mergeCell ref="A68:A69"/>
    <mergeCell ref="B68:B69"/>
    <mergeCell ref="C68:C69"/>
    <mergeCell ref="D68:D69"/>
    <mergeCell ref="E68:E69"/>
    <mergeCell ref="F68:F69"/>
    <mergeCell ref="G68:G69"/>
    <mergeCell ref="H68:H69"/>
    <mergeCell ref="Y68:Y69"/>
    <mergeCell ref="Z68:Z69"/>
    <mergeCell ref="AA68:AA69"/>
    <mergeCell ref="AE68:AE69"/>
    <mergeCell ref="AF68:AF69"/>
    <mergeCell ref="AG68:AG69"/>
    <mergeCell ref="AH68:AH69"/>
    <mergeCell ref="AI66:AI67"/>
    <mergeCell ref="AJ66:AJ67"/>
    <mergeCell ref="AK66:AK67"/>
    <mergeCell ref="AN66:AN67"/>
    <mergeCell ref="AO68:AO69"/>
    <mergeCell ref="AK68:AK69"/>
    <mergeCell ref="AN68:AN69"/>
    <mergeCell ref="A66:A67"/>
    <mergeCell ref="B66:B67"/>
    <mergeCell ref="C66:C67"/>
    <mergeCell ref="D66:D67"/>
    <mergeCell ref="E66:E67"/>
    <mergeCell ref="F66:F67"/>
    <mergeCell ref="G66:G67"/>
    <mergeCell ref="H66:H67"/>
    <mergeCell ref="Y66:Y67"/>
    <mergeCell ref="Z66:Z67"/>
    <mergeCell ref="AA66:AA67"/>
    <mergeCell ref="AE66:AE67"/>
    <mergeCell ref="AF66:AF67"/>
    <mergeCell ref="AG66:AG67"/>
    <mergeCell ref="AH66:AH67"/>
    <mergeCell ref="AI64:AI65"/>
    <mergeCell ref="AJ64:AJ65"/>
    <mergeCell ref="AL68:AL69"/>
    <mergeCell ref="AM68:AM69"/>
    <mergeCell ref="AO62:AO63"/>
    <mergeCell ref="A64:A65"/>
    <mergeCell ref="B64:B65"/>
    <mergeCell ref="C64:C65"/>
    <mergeCell ref="D64:D65"/>
    <mergeCell ref="E64:E65"/>
    <mergeCell ref="F64:F65"/>
    <mergeCell ref="G64:G65"/>
    <mergeCell ref="H64:H65"/>
    <mergeCell ref="Y64:Y65"/>
    <mergeCell ref="Z64:Z65"/>
    <mergeCell ref="AA64:AA65"/>
    <mergeCell ref="AE64:AE65"/>
    <mergeCell ref="AF64:AF65"/>
    <mergeCell ref="AG64:AG65"/>
    <mergeCell ref="AH64:AH65"/>
    <mergeCell ref="AI62:AI63"/>
    <mergeCell ref="AJ62:AJ63"/>
    <mergeCell ref="AK62:AK63"/>
    <mergeCell ref="AN62:AN63"/>
    <mergeCell ref="AO64:AO65"/>
    <mergeCell ref="AK64:AK65"/>
    <mergeCell ref="AN64:AN65"/>
    <mergeCell ref="A62:A63"/>
    <mergeCell ref="B62:B63"/>
    <mergeCell ref="C62:C63"/>
    <mergeCell ref="D62:D63"/>
    <mergeCell ref="E62:E63"/>
    <mergeCell ref="F62:F63"/>
    <mergeCell ref="G62:G63"/>
    <mergeCell ref="H62:H63"/>
    <mergeCell ref="Y62:Y63"/>
    <mergeCell ref="Z62:Z63"/>
    <mergeCell ref="AA62:AA63"/>
    <mergeCell ref="AE62:AE63"/>
    <mergeCell ref="AF62:AF63"/>
    <mergeCell ref="AG62:AG63"/>
    <mergeCell ref="AH62:AH63"/>
    <mergeCell ref="AI60:AI61"/>
    <mergeCell ref="AJ60:AJ61"/>
    <mergeCell ref="AO58:AO59"/>
    <mergeCell ref="A60:A61"/>
    <mergeCell ref="B60:B61"/>
    <mergeCell ref="C60:C61"/>
    <mergeCell ref="D60:D61"/>
    <mergeCell ref="E60:E61"/>
    <mergeCell ref="F60:F61"/>
    <mergeCell ref="G60:G61"/>
    <mergeCell ref="H60:H61"/>
    <mergeCell ref="Y60:Y61"/>
    <mergeCell ref="Z60:Z61"/>
    <mergeCell ref="AA60:AA61"/>
    <mergeCell ref="AE60:AE61"/>
    <mergeCell ref="AF60:AF61"/>
    <mergeCell ref="AG60:AG61"/>
    <mergeCell ref="AH60:AH61"/>
    <mergeCell ref="AI58:AI59"/>
    <mergeCell ref="AJ58:AJ59"/>
    <mergeCell ref="AK58:AK59"/>
    <mergeCell ref="AN58:AN59"/>
    <mergeCell ref="AO60:AO61"/>
    <mergeCell ref="AK60:AK61"/>
    <mergeCell ref="AN60:AN61"/>
    <mergeCell ref="A58:A59"/>
    <mergeCell ref="B58:B59"/>
    <mergeCell ref="C58:C59"/>
    <mergeCell ref="D58:D59"/>
    <mergeCell ref="E58:E59"/>
    <mergeCell ref="F58:F59"/>
    <mergeCell ref="G58:G59"/>
    <mergeCell ref="H58:H59"/>
    <mergeCell ref="Y58:Y59"/>
    <mergeCell ref="Z58:Z59"/>
    <mergeCell ref="AA58:AA59"/>
    <mergeCell ref="AE58:AE59"/>
    <mergeCell ref="AF58:AF59"/>
    <mergeCell ref="AG58:AG59"/>
    <mergeCell ref="AH58:AH59"/>
    <mergeCell ref="AI56:AI57"/>
    <mergeCell ref="AJ56:AJ57"/>
    <mergeCell ref="AO54:AO55"/>
    <mergeCell ref="AK54:AK55"/>
    <mergeCell ref="AN54:AN55"/>
    <mergeCell ref="AO56:AO57"/>
    <mergeCell ref="AK56:AK57"/>
    <mergeCell ref="AN56:AN57"/>
    <mergeCell ref="A56:A57"/>
    <mergeCell ref="B56:B57"/>
    <mergeCell ref="C56:C57"/>
    <mergeCell ref="D56:D57"/>
    <mergeCell ref="E56:E57"/>
    <mergeCell ref="F56:F57"/>
    <mergeCell ref="G56:G57"/>
    <mergeCell ref="H56:H57"/>
    <mergeCell ref="Y56:Y57"/>
    <mergeCell ref="Z56:Z57"/>
    <mergeCell ref="AA56:AA57"/>
    <mergeCell ref="AE56:AE57"/>
    <mergeCell ref="AF56:AF57"/>
    <mergeCell ref="AG56:AG57"/>
    <mergeCell ref="AH56:AH57"/>
    <mergeCell ref="AI54:AI55"/>
    <mergeCell ref="AJ54:AJ55"/>
    <mergeCell ref="A54:A55"/>
    <mergeCell ref="B54:B55"/>
    <mergeCell ref="C54:C55"/>
    <mergeCell ref="D54:D55"/>
    <mergeCell ref="E54:E55"/>
    <mergeCell ref="F54:F55"/>
    <mergeCell ref="G54:G55"/>
    <mergeCell ref="H54:H55"/>
    <mergeCell ref="Y54:Y55"/>
    <mergeCell ref="Z54:Z55"/>
    <mergeCell ref="AA54:AA55"/>
    <mergeCell ref="AE54:AE55"/>
    <mergeCell ref="AF54:AF55"/>
    <mergeCell ref="AG54:AG55"/>
    <mergeCell ref="AH54:AH55"/>
    <mergeCell ref="AI52:AI53"/>
    <mergeCell ref="AJ52:AJ53"/>
    <mergeCell ref="AO50:AO51"/>
    <mergeCell ref="A52:A53"/>
    <mergeCell ref="B52:B53"/>
    <mergeCell ref="C52:C53"/>
    <mergeCell ref="D52:D53"/>
    <mergeCell ref="E52:E53"/>
    <mergeCell ref="F52:F53"/>
    <mergeCell ref="G52:G53"/>
    <mergeCell ref="H52:H53"/>
    <mergeCell ref="Y52:Y53"/>
    <mergeCell ref="Z52:Z53"/>
    <mergeCell ref="AA52:AA53"/>
    <mergeCell ref="AE52:AE53"/>
    <mergeCell ref="AF52:AF53"/>
    <mergeCell ref="AG52:AG53"/>
    <mergeCell ref="AH52:AH53"/>
    <mergeCell ref="AI50:AI51"/>
    <mergeCell ref="AJ50:AJ51"/>
    <mergeCell ref="AK50:AK51"/>
    <mergeCell ref="AN50:AN51"/>
    <mergeCell ref="AO52:AO53"/>
    <mergeCell ref="AK52:AK53"/>
    <mergeCell ref="AN52:AN53"/>
    <mergeCell ref="A50:A51"/>
    <mergeCell ref="B50:B51"/>
    <mergeCell ref="C50:C51"/>
    <mergeCell ref="D50:D51"/>
    <mergeCell ref="E50:E51"/>
    <mergeCell ref="F50:F51"/>
    <mergeCell ref="G50:G51"/>
    <mergeCell ref="H50:H51"/>
    <mergeCell ref="Y50:Y51"/>
    <mergeCell ref="Z50:Z51"/>
    <mergeCell ref="AA50:AA51"/>
    <mergeCell ref="AE50:AE51"/>
    <mergeCell ref="AF50:AF51"/>
    <mergeCell ref="AG50:AG51"/>
    <mergeCell ref="AH50:AH51"/>
    <mergeCell ref="AI48:AI49"/>
    <mergeCell ref="AJ48:AJ49"/>
    <mergeCell ref="AO46:AO47"/>
    <mergeCell ref="A48:A49"/>
    <mergeCell ref="B48:B49"/>
    <mergeCell ref="C48:C49"/>
    <mergeCell ref="D48:D49"/>
    <mergeCell ref="E48:E49"/>
    <mergeCell ref="F48:F49"/>
    <mergeCell ref="G48:G49"/>
    <mergeCell ref="H48:H49"/>
    <mergeCell ref="Y48:Y49"/>
    <mergeCell ref="Z48:Z49"/>
    <mergeCell ref="AA48:AA49"/>
    <mergeCell ref="AE48:AE49"/>
    <mergeCell ref="AF48:AF49"/>
    <mergeCell ref="AG48:AG49"/>
    <mergeCell ref="AH48:AH49"/>
    <mergeCell ref="AI46:AI47"/>
    <mergeCell ref="AJ46:AJ47"/>
    <mergeCell ref="AK46:AK47"/>
    <mergeCell ref="AN46:AN47"/>
    <mergeCell ref="AO48:AO49"/>
    <mergeCell ref="AK48:AK49"/>
    <mergeCell ref="AN48:AN49"/>
    <mergeCell ref="A46:A47"/>
    <mergeCell ref="B46:B47"/>
    <mergeCell ref="C46:C47"/>
    <mergeCell ref="D46:D47"/>
    <mergeCell ref="E46:E47"/>
    <mergeCell ref="F46:F47"/>
    <mergeCell ref="G46:G47"/>
    <mergeCell ref="H46:H47"/>
    <mergeCell ref="Y46:Y47"/>
    <mergeCell ref="Z46:Z47"/>
    <mergeCell ref="AA46:AA47"/>
    <mergeCell ref="AE46:AE47"/>
    <mergeCell ref="AF46:AF47"/>
    <mergeCell ref="AG46:AG47"/>
    <mergeCell ref="AH46:AH47"/>
    <mergeCell ref="AI44:AI45"/>
    <mergeCell ref="AJ44:AJ45"/>
    <mergeCell ref="AO42:AO43"/>
    <mergeCell ref="A44:A45"/>
    <mergeCell ref="B44:B45"/>
    <mergeCell ref="C44:C45"/>
    <mergeCell ref="D44:D45"/>
    <mergeCell ref="E44:E45"/>
    <mergeCell ref="F44:F45"/>
    <mergeCell ref="G44:G45"/>
    <mergeCell ref="H44:H45"/>
    <mergeCell ref="Y44:Y45"/>
    <mergeCell ref="Z44:Z45"/>
    <mergeCell ref="AA44:AA45"/>
    <mergeCell ref="AE44:AE45"/>
    <mergeCell ref="AF44:AF45"/>
    <mergeCell ref="AG44:AG45"/>
    <mergeCell ref="AH44:AH45"/>
    <mergeCell ref="AI42:AI43"/>
    <mergeCell ref="AJ42:AJ43"/>
    <mergeCell ref="AK42:AK43"/>
    <mergeCell ref="AN42:AN43"/>
    <mergeCell ref="AO44:AO45"/>
    <mergeCell ref="AK44:AK45"/>
    <mergeCell ref="AN44:AN45"/>
    <mergeCell ref="A42:A43"/>
    <mergeCell ref="B42:B43"/>
    <mergeCell ref="C42:C43"/>
    <mergeCell ref="D42:D43"/>
    <mergeCell ref="E42:E43"/>
    <mergeCell ref="F42:F43"/>
    <mergeCell ref="G42:G43"/>
    <mergeCell ref="H42:H43"/>
    <mergeCell ref="Y42:Y43"/>
    <mergeCell ref="Z42:Z43"/>
    <mergeCell ref="AA42:AA43"/>
    <mergeCell ref="AE42:AE43"/>
    <mergeCell ref="AF42:AF43"/>
    <mergeCell ref="AG42:AG43"/>
    <mergeCell ref="AH42:AH43"/>
    <mergeCell ref="AI40:AI41"/>
    <mergeCell ref="AJ40:AJ41"/>
    <mergeCell ref="AO38:AO39"/>
    <mergeCell ref="A40:A41"/>
    <mergeCell ref="B40:B41"/>
    <mergeCell ref="C40:C41"/>
    <mergeCell ref="D40:D41"/>
    <mergeCell ref="E40:E41"/>
    <mergeCell ref="F40:F41"/>
    <mergeCell ref="G40:G41"/>
    <mergeCell ref="H40:H41"/>
    <mergeCell ref="Y40:Y41"/>
    <mergeCell ref="Z40:Z41"/>
    <mergeCell ref="AA40:AA41"/>
    <mergeCell ref="AE40:AE41"/>
    <mergeCell ref="AF40:AF41"/>
    <mergeCell ref="AG40:AG41"/>
    <mergeCell ref="AH40:AH41"/>
    <mergeCell ref="AI38:AI39"/>
    <mergeCell ref="AJ38:AJ39"/>
    <mergeCell ref="AK38:AK39"/>
    <mergeCell ref="AN38:AN39"/>
    <mergeCell ref="AO40:AO41"/>
    <mergeCell ref="AK40:AK41"/>
    <mergeCell ref="AN40:AN41"/>
    <mergeCell ref="A38:A39"/>
    <mergeCell ref="B38:B39"/>
    <mergeCell ref="C38:C39"/>
    <mergeCell ref="D38:D39"/>
    <mergeCell ref="E38:E39"/>
    <mergeCell ref="F38:F39"/>
    <mergeCell ref="G38:G39"/>
    <mergeCell ref="H38:H39"/>
    <mergeCell ref="Y38:Y39"/>
    <mergeCell ref="Z38:Z39"/>
    <mergeCell ref="AA38:AA39"/>
    <mergeCell ref="AE38:AE39"/>
    <mergeCell ref="AF38:AF39"/>
    <mergeCell ref="AG38:AG39"/>
    <mergeCell ref="AH38:AH39"/>
    <mergeCell ref="AI36:AI37"/>
    <mergeCell ref="AJ36:AJ37"/>
    <mergeCell ref="AO34:AO35"/>
    <mergeCell ref="AK34:AK35"/>
    <mergeCell ref="AN34:AN35"/>
    <mergeCell ref="AO36:AO37"/>
    <mergeCell ref="AK36:AK37"/>
    <mergeCell ref="AN36:AN37"/>
    <mergeCell ref="A36:A37"/>
    <mergeCell ref="B36:B37"/>
    <mergeCell ref="C36:C37"/>
    <mergeCell ref="D36:D37"/>
    <mergeCell ref="E36:E37"/>
    <mergeCell ref="F36:F37"/>
    <mergeCell ref="G36:G37"/>
    <mergeCell ref="H36:H37"/>
    <mergeCell ref="Y36:Y37"/>
    <mergeCell ref="Z36:Z37"/>
    <mergeCell ref="AA36:AA37"/>
    <mergeCell ref="AE36:AE37"/>
    <mergeCell ref="AF36:AF37"/>
    <mergeCell ref="AG36:AG37"/>
    <mergeCell ref="AH36:AH37"/>
    <mergeCell ref="AI34:AI35"/>
    <mergeCell ref="AJ34:AJ35"/>
    <mergeCell ref="A34:A35"/>
    <mergeCell ref="B34:B35"/>
    <mergeCell ref="C34:C35"/>
    <mergeCell ref="D34:D35"/>
    <mergeCell ref="E34:E35"/>
    <mergeCell ref="F34:F35"/>
    <mergeCell ref="G34:G35"/>
    <mergeCell ref="H34:H35"/>
    <mergeCell ref="Y34:Y35"/>
    <mergeCell ref="Z34:Z35"/>
    <mergeCell ref="AA34:AA35"/>
    <mergeCell ref="AE34:AE35"/>
    <mergeCell ref="AF34:AF35"/>
    <mergeCell ref="AG34:AG35"/>
    <mergeCell ref="AH34:AH35"/>
    <mergeCell ref="AI32:AI33"/>
    <mergeCell ref="AJ32:AJ33"/>
    <mergeCell ref="AO30:AO31"/>
    <mergeCell ref="A32:A33"/>
    <mergeCell ref="B32:B33"/>
    <mergeCell ref="C32:C33"/>
    <mergeCell ref="D32:D33"/>
    <mergeCell ref="E32:E33"/>
    <mergeCell ref="F32:F33"/>
    <mergeCell ref="G32:G33"/>
    <mergeCell ref="H32:H33"/>
    <mergeCell ref="Y32:Y33"/>
    <mergeCell ref="Z32:Z33"/>
    <mergeCell ref="AA32:AA33"/>
    <mergeCell ref="AE32:AE33"/>
    <mergeCell ref="AF32:AF33"/>
    <mergeCell ref="AG32:AG33"/>
    <mergeCell ref="AH32:AH33"/>
    <mergeCell ref="AI30:AI31"/>
    <mergeCell ref="AJ30:AJ31"/>
    <mergeCell ref="AK30:AK31"/>
    <mergeCell ref="AN30:AN31"/>
    <mergeCell ref="AO32:AO33"/>
    <mergeCell ref="AK32:AK33"/>
    <mergeCell ref="AN32:AN33"/>
    <mergeCell ref="A30:A31"/>
    <mergeCell ref="B30:B31"/>
    <mergeCell ref="C30:C31"/>
    <mergeCell ref="D30:D31"/>
    <mergeCell ref="E30:E31"/>
    <mergeCell ref="F30:F31"/>
    <mergeCell ref="G30:G31"/>
    <mergeCell ref="H30:H31"/>
    <mergeCell ref="Y30:Y31"/>
    <mergeCell ref="Z30:Z31"/>
    <mergeCell ref="AA30:AA31"/>
    <mergeCell ref="AE30:AE31"/>
    <mergeCell ref="AF30:AF31"/>
    <mergeCell ref="AG30:AG31"/>
    <mergeCell ref="AH30:AH31"/>
    <mergeCell ref="AI28:AI29"/>
    <mergeCell ref="AJ28:AJ29"/>
    <mergeCell ref="AO26:AO27"/>
    <mergeCell ref="A28:A29"/>
    <mergeCell ref="B28:B29"/>
    <mergeCell ref="C28:C29"/>
    <mergeCell ref="D28:D29"/>
    <mergeCell ref="E28:E29"/>
    <mergeCell ref="F28:F29"/>
    <mergeCell ref="G28:G29"/>
    <mergeCell ref="H28:H29"/>
    <mergeCell ref="Y28:Y29"/>
    <mergeCell ref="Z28:Z29"/>
    <mergeCell ref="AA28:AA29"/>
    <mergeCell ref="AE28:AE29"/>
    <mergeCell ref="AF28:AF29"/>
    <mergeCell ref="AG28:AG29"/>
    <mergeCell ref="AH28:AH29"/>
    <mergeCell ref="AI26:AI27"/>
    <mergeCell ref="AJ26:AJ27"/>
    <mergeCell ref="AK26:AK27"/>
    <mergeCell ref="AN26:AN27"/>
    <mergeCell ref="AO28:AO29"/>
    <mergeCell ref="AK28:AK29"/>
    <mergeCell ref="AN28:AN29"/>
    <mergeCell ref="A26:A27"/>
    <mergeCell ref="B26:B27"/>
    <mergeCell ref="C26:C27"/>
    <mergeCell ref="D26:D27"/>
    <mergeCell ref="E26:E27"/>
    <mergeCell ref="F26:F27"/>
    <mergeCell ref="G26:G27"/>
    <mergeCell ref="H26:H27"/>
    <mergeCell ref="Y26:Y27"/>
    <mergeCell ref="Z26:Z27"/>
    <mergeCell ref="AA26:AA27"/>
    <mergeCell ref="AE26:AE27"/>
    <mergeCell ref="AF26:AF27"/>
    <mergeCell ref="AG26:AG27"/>
    <mergeCell ref="AH26:AH27"/>
    <mergeCell ref="AI24:AI25"/>
    <mergeCell ref="AJ24:AJ25"/>
    <mergeCell ref="AO22:AO23"/>
    <mergeCell ref="A24:A25"/>
    <mergeCell ref="B24:B25"/>
    <mergeCell ref="C24:C25"/>
    <mergeCell ref="D24:D25"/>
    <mergeCell ref="E24:E25"/>
    <mergeCell ref="F24:F25"/>
    <mergeCell ref="G24:G25"/>
    <mergeCell ref="H24:H25"/>
    <mergeCell ref="Y24:Y25"/>
    <mergeCell ref="Z24:Z25"/>
    <mergeCell ref="AA24:AA25"/>
    <mergeCell ref="AE24:AE25"/>
    <mergeCell ref="AF24:AF25"/>
    <mergeCell ref="AG24:AG25"/>
    <mergeCell ref="AH24:AH25"/>
    <mergeCell ref="AI22:AI23"/>
    <mergeCell ref="AJ22:AJ23"/>
    <mergeCell ref="AK22:AK23"/>
    <mergeCell ref="AN22:AN23"/>
    <mergeCell ref="AO24:AO25"/>
    <mergeCell ref="AK24:AK25"/>
    <mergeCell ref="AN24:AN25"/>
    <mergeCell ref="A22:A23"/>
    <mergeCell ref="B22:B23"/>
    <mergeCell ref="C22:C23"/>
    <mergeCell ref="D22:D23"/>
    <mergeCell ref="E22:E23"/>
    <mergeCell ref="F22:F23"/>
    <mergeCell ref="G22:G23"/>
    <mergeCell ref="H22:H23"/>
    <mergeCell ref="Y22:Y23"/>
    <mergeCell ref="Z22:Z23"/>
    <mergeCell ref="AA22:AA23"/>
    <mergeCell ref="AE22:AE23"/>
    <mergeCell ref="AF22:AF23"/>
    <mergeCell ref="AG22:AG23"/>
    <mergeCell ref="AH22:AH23"/>
    <mergeCell ref="AI20:AI21"/>
    <mergeCell ref="AJ20:AJ21"/>
    <mergeCell ref="AO18:AO19"/>
    <mergeCell ref="A20:A21"/>
    <mergeCell ref="B20:B21"/>
    <mergeCell ref="C20:C21"/>
    <mergeCell ref="D20:D21"/>
    <mergeCell ref="E20:E21"/>
    <mergeCell ref="F20:F21"/>
    <mergeCell ref="G20:G21"/>
    <mergeCell ref="H20:H21"/>
    <mergeCell ref="Y20:Y21"/>
    <mergeCell ref="Z20:Z21"/>
    <mergeCell ref="AA20:AA21"/>
    <mergeCell ref="AE20:AE21"/>
    <mergeCell ref="AF20:AF21"/>
    <mergeCell ref="AG20:AG21"/>
    <mergeCell ref="AH20:AH21"/>
    <mergeCell ref="AI18:AI19"/>
    <mergeCell ref="AJ18:AJ19"/>
    <mergeCell ref="AK18:AK19"/>
    <mergeCell ref="AN18:AN19"/>
    <mergeCell ref="AO20:AO21"/>
    <mergeCell ref="AK20:AK21"/>
    <mergeCell ref="AN20:AN21"/>
    <mergeCell ref="A18:A19"/>
    <mergeCell ref="B18:B19"/>
    <mergeCell ref="C18:C19"/>
    <mergeCell ref="D18:D19"/>
    <mergeCell ref="E18:E19"/>
    <mergeCell ref="F18:F19"/>
    <mergeCell ref="G18:G19"/>
    <mergeCell ref="H18:H19"/>
    <mergeCell ref="Y18:Y19"/>
    <mergeCell ref="Z18:Z19"/>
    <mergeCell ref="AA18:AA19"/>
    <mergeCell ref="AE18:AE19"/>
    <mergeCell ref="AF18:AF19"/>
    <mergeCell ref="AG18:AG19"/>
    <mergeCell ref="AH18:AH19"/>
    <mergeCell ref="AO14:AO15"/>
    <mergeCell ref="A16:A17"/>
    <mergeCell ref="B16:B17"/>
    <mergeCell ref="C16:C17"/>
    <mergeCell ref="D16:D17"/>
    <mergeCell ref="E16:E17"/>
    <mergeCell ref="F16:F17"/>
    <mergeCell ref="G16:G17"/>
    <mergeCell ref="H16:H17"/>
    <mergeCell ref="Y16:Y17"/>
    <mergeCell ref="Z16:Z17"/>
    <mergeCell ref="AA16:AA17"/>
    <mergeCell ref="AE16:AE17"/>
    <mergeCell ref="AF16:AF17"/>
    <mergeCell ref="AG16:AG17"/>
    <mergeCell ref="AH16:AH17"/>
    <mergeCell ref="AI14:AI15"/>
    <mergeCell ref="AJ14:AJ15"/>
    <mergeCell ref="AK14:AK15"/>
    <mergeCell ref="AN14:AN15"/>
    <mergeCell ref="F12:F13"/>
    <mergeCell ref="G12:G13"/>
    <mergeCell ref="H12:H13"/>
    <mergeCell ref="Y12:Y13"/>
    <mergeCell ref="Z12:Z13"/>
    <mergeCell ref="A12:A13"/>
    <mergeCell ref="B12:B13"/>
    <mergeCell ref="C12:C13"/>
    <mergeCell ref="D12:D13"/>
    <mergeCell ref="E12:E13"/>
    <mergeCell ref="AO16:AO17"/>
    <mergeCell ref="AK16:AK17"/>
    <mergeCell ref="AN16:AN17"/>
    <mergeCell ref="A14:A15"/>
    <mergeCell ref="B14:B15"/>
    <mergeCell ref="C14:C15"/>
    <mergeCell ref="D14:D15"/>
    <mergeCell ref="E14:E15"/>
    <mergeCell ref="F14:F15"/>
    <mergeCell ref="G14:G15"/>
    <mergeCell ref="H14:H15"/>
    <mergeCell ref="Y14:Y15"/>
    <mergeCell ref="Z14:Z15"/>
    <mergeCell ref="AA14:AA15"/>
    <mergeCell ref="AE14:AE15"/>
    <mergeCell ref="AF14:AF15"/>
    <mergeCell ref="AG14:AG15"/>
    <mergeCell ref="AH14:AH15"/>
    <mergeCell ref="AI16:AI17"/>
    <mergeCell ref="AJ16:AJ17"/>
    <mergeCell ref="AJ10:AJ11"/>
    <mergeCell ref="AK10:AK11"/>
    <mergeCell ref="AN10:AN11"/>
    <mergeCell ref="AO10:AO11"/>
    <mergeCell ref="AE10:AE11"/>
    <mergeCell ref="AF10:AF11"/>
    <mergeCell ref="AG10:AG11"/>
    <mergeCell ref="AH10:AH11"/>
    <mergeCell ref="AI10:AI11"/>
    <mergeCell ref="Y8:Y9"/>
    <mergeCell ref="Z8:Z9"/>
    <mergeCell ref="AA8:AA9"/>
    <mergeCell ref="AO12:AO13"/>
    <mergeCell ref="AK12:AK13"/>
    <mergeCell ref="AN12:AN13"/>
    <mergeCell ref="AI12:AI13"/>
    <mergeCell ref="AJ12:AJ13"/>
    <mergeCell ref="AA12:AA13"/>
    <mergeCell ref="AE12:AE13"/>
    <mergeCell ref="AF12:AF13"/>
    <mergeCell ref="AG12:AG13"/>
    <mergeCell ref="AH12:AH13"/>
    <mergeCell ref="AL8:AL9"/>
    <mergeCell ref="AM8:AM9"/>
    <mergeCell ref="AL10:AL11"/>
    <mergeCell ref="AM10:AM11"/>
    <mergeCell ref="AL12:AL13"/>
    <mergeCell ref="AM12:AM13"/>
    <mergeCell ref="H8:H9"/>
    <mergeCell ref="A10:A11"/>
    <mergeCell ref="B10:B11"/>
    <mergeCell ref="C10:C11"/>
    <mergeCell ref="D10:D11"/>
    <mergeCell ref="E10:E11"/>
    <mergeCell ref="F10:F11"/>
    <mergeCell ref="G10:G11"/>
    <mergeCell ref="H10:H11"/>
    <mergeCell ref="Y10:Y11"/>
    <mergeCell ref="Z10:Z11"/>
    <mergeCell ref="AA10:AA11"/>
    <mergeCell ref="A6:A7"/>
    <mergeCell ref="B6:B7"/>
    <mergeCell ref="F6:F7"/>
    <mergeCell ref="G6:G7"/>
    <mergeCell ref="B8:B9"/>
    <mergeCell ref="C8:C9"/>
    <mergeCell ref="A8:A9"/>
    <mergeCell ref="H6:H7"/>
    <mergeCell ref="C6:C7"/>
    <mergeCell ref="D6:D7"/>
    <mergeCell ref="E6:E7"/>
    <mergeCell ref="G8:G9"/>
    <mergeCell ref="F8:F9"/>
    <mergeCell ref="E8:E9"/>
    <mergeCell ref="D8:D9"/>
    <mergeCell ref="AA6:AA7"/>
    <mergeCell ref="Z6:Z7"/>
    <mergeCell ref="Y6:Y7"/>
    <mergeCell ref="AI2:AJ3"/>
    <mergeCell ref="AO8:AO9"/>
    <mergeCell ref="AN8:AN9"/>
    <mergeCell ref="AK8:AK9"/>
    <mergeCell ref="AJ8:AJ9"/>
    <mergeCell ref="AI8:AI9"/>
    <mergeCell ref="AK6:AK7"/>
    <mergeCell ref="AN6:AN7"/>
    <mergeCell ref="AO6:AO7"/>
    <mergeCell ref="AI6:AI7"/>
    <mergeCell ref="AJ6:AJ7"/>
    <mergeCell ref="AH8:AH9"/>
    <mergeCell ref="AG8:AG9"/>
    <mergeCell ref="AE4:AE5"/>
    <mergeCell ref="AF4:AF5"/>
    <mergeCell ref="AE8:AE9"/>
    <mergeCell ref="AF8:AF9"/>
    <mergeCell ref="AE6:AE7"/>
    <mergeCell ref="AF6:AF7"/>
    <mergeCell ref="AG6:AG7"/>
    <mergeCell ref="AH6:AH7"/>
    <mergeCell ref="Y3:AF3"/>
    <mergeCell ref="Y4:Y5"/>
    <mergeCell ref="Z4:Z5"/>
    <mergeCell ref="AA4:AA5"/>
    <mergeCell ref="AL6:AL7"/>
    <mergeCell ref="AM6:AM7"/>
    <mergeCell ref="AL1:AM5"/>
    <mergeCell ref="S1:Z2"/>
    <mergeCell ref="I3:X3"/>
    <mergeCell ref="H4:H5"/>
    <mergeCell ref="C4:C5"/>
    <mergeCell ref="E1:G1"/>
    <mergeCell ref="E2:G2"/>
    <mergeCell ref="E3:G3"/>
    <mergeCell ref="AE1:AF1"/>
    <mergeCell ref="AE2:AF2"/>
    <mergeCell ref="AD1:AD2"/>
    <mergeCell ref="A4:B5"/>
    <mergeCell ref="D4:G5"/>
    <mergeCell ref="A1:D1"/>
    <mergeCell ref="A2:D2"/>
    <mergeCell ref="A3:D3"/>
    <mergeCell ref="Q1:R2"/>
    <mergeCell ref="M1:N2"/>
    <mergeCell ref="I1:L2"/>
    <mergeCell ref="O1:P2"/>
    <mergeCell ref="AB2:AC2"/>
  </mergeCells>
  <phoneticPr fontId="15" type="noConversion"/>
  <conditionalFormatting sqref="I6:X7">
    <cfRule type="expression" dxfId="0" priority="1">
      <formula>WEEKDAY(I6)=1</formula>
    </cfRule>
  </conditionalFormatting>
  <printOptions horizontalCentered="1" verticalCentered="1"/>
  <pageMargins left="0.11811023622047245" right="0.11811023622047245" top="0.35433070866141736" bottom="0.35433070866141736" header="0.19685039370078741" footer="0.11811023622047245"/>
  <pageSetup paperSize="9" scale="5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pinner 1">
              <controlPr defaultSize="0" autoPict="0">
                <anchor moveWithCells="1" sizeWithCells="1">
                  <from>
                    <xdr:col>11</xdr:col>
                    <xdr:colOff>171450</xdr:colOff>
                    <xdr:row>0</xdr:row>
                    <xdr:rowOff>28575</xdr:rowOff>
                  </from>
                  <to>
                    <xdr:col>12</xdr:col>
                    <xdr:colOff>114300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pinner 2">
              <controlPr defaultSize="0" autoPict="0">
                <anchor moveWithCells="1" sizeWithCells="1">
                  <from>
                    <xdr:col>15</xdr:col>
                    <xdr:colOff>171450</xdr:colOff>
                    <xdr:row>0</xdr:row>
                    <xdr:rowOff>28575</xdr:rowOff>
                  </from>
                  <to>
                    <xdr:col>16</xdr:col>
                    <xdr:colOff>114300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일용직 노임대장</vt:lpstr>
      <vt:lpstr>'일용직 노임대장'!Print_Area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2025-12-24T07:29:15Z</dcterms:modified>
</cp:coreProperties>
</file>